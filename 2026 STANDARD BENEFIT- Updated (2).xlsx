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k-ezeudu\Documents\"/>
    </mc:Choice>
  </mc:AlternateContent>
  <xr:revisionPtr revIDLastSave="0" documentId="13_ncr:1_{78172C76-60B7-4812-9F68-3633FEF5E70A}" xr6:coauthVersionLast="47" xr6:coauthVersionMax="47" xr10:uidLastSave="{00000000-0000-0000-0000-000000000000}"/>
  <bookViews>
    <workbookView xWindow="-120" yWindow="-120" windowWidth="29040" windowHeight="15720" activeTab="1" xr2:uid="{2EC43074-CA40-4E26-8F39-BEC0D58EAE03}"/>
  </bookViews>
  <sheets>
    <sheet name="CORPORATE" sheetId="1" r:id="rId1"/>
    <sheet name="SME" sheetId="2" r:id="rId2"/>
    <sheet name="SENIOR CITIZEN" sheetId="3" r:id="rId3"/>
    <sheet name="RETAIL"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9" i="2" l="1"/>
  <c r="F69" i="2"/>
  <c r="E69" i="2"/>
  <c r="D69" i="2"/>
  <c r="C69" i="2"/>
  <c r="F71" i="2"/>
  <c r="E71" i="2"/>
  <c r="D71" i="2"/>
  <c r="C71" i="2"/>
  <c r="B71" i="2"/>
  <c r="H97" i="1" l="1"/>
  <c r="G97" i="1"/>
  <c r="F97" i="1"/>
  <c r="E97" i="1"/>
  <c r="D97" i="1"/>
  <c r="C97" i="1"/>
  <c r="B97" i="1"/>
</calcChain>
</file>

<file path=xl/sharedStrings.xml><?xml version="1.0" encoding="utf-8"?>
<sst xmlns="http://schemas.openxmlformats.org/spreadsheetml/2006/main" count="1349" uniqueCount="597">
  <si>
    <t>BENEFIT SUB-CATEGORIES</t>
  </si>
  <si>
    <t>PLUS</t>
  </si>
  <si>
    <t>PRO</t>
  </si>
  <si>
    <t>MAX</t>
  </si>
  <si>
    <t>PROMAX</t>
  </si>
  <si>
    <t>MAGNUM</t>
  </si>
  <si>
    <t>MAGNUM PLUS</t>
  </si>
  <si>
    <t>CROMWELL</t>
  </si>
  <si>
    <t>Provider Network</t>
  </si>
  <si>
    <t>Category D</t>
  </si>
  <si>
    <t>Category C + D</t>
  </si>
  <si>
    <t>Category B+C+D</t>
  </si>
  <si>
    <t>Category A+B+C+D</t>
  </si>
  <si>
    <t>Category A*+A+B+C+D</t>
  </si>
  <si>
    <t>Category A*+A+B+C+D+E</t>
  </si>
  <si>
    <t>TERRITORY</t>
  </si>
  <si>
    <t>Nigeria + India</t>
  </si>
  <si>
    <t>Nigeria + West Africa+ India + UAE</t>
  </si>
  <si>
    <t>Local In-country + Africa+ India + UAE</t>
  </si>
  <si>
    <t>Local In-country + International Hospital Network</t>
  </si>
  <si>
    <t>OVERALL LIMIT (Millions)</t>
  </si>
  <si>
    <t>Unlimited</t>
  </si>
  <si>
    <t>Covered up to $500,000 per person per year</t>
  </si>
  <si>
    <t>OUT-PATIENT LIMIT (Millions)</t>
  </si>
  <si>
    <t>Unlimted</t>
  </si>
  <si>
    <t xml:space="preserve">WELLNESS BENEFITS </t>
  </si>
  <si>
    <t>HEALTH PROMOTION-SUPPORT, TRACK AND REWARD POSITIVE HEALTHY LIVING HABITS</t>
  </si>
  <si>
    <t>Active rewards Program (improve your health, get rewarded)</t>
  </si>
  <si>
    <t>Covered</t>
  </si>
  <si>
    <t>Fitnesss Tracker (Leadway Health APP)</t>
  </si>
  <si>
    <t>Annual Wellness Screening</t>
  </si>
  <si>
    <t>Mental Health preventive Services</t>
  </si>
  <si>
    <t>Network Gym services</t>
  </si>
  <si>
    <t>Not Covered</t>
  </si>
  <si>
    <t>Covered for 2 session in one Month</t>
  </si>
  <si>
    <t>Covered for 4 session in one Month</t>
  </si>
  <si>
    <t>Covered twice a week</t>
  </si>
  <si>
    <t>Inclusive of I-fitness gym</t>
  </si>
  <si>
    <t>SPA Treatment (Voucher PA)</t>
  </si>
  <si>
    <t>N/A</t>
  </si>
  <si>
    <t>Covered up to NGN 5,000.00</t>
  </si>
  <si>
    <t>Covered up to NGN 10,00.00</t>
  </si>
  <si>
    <t>Covered up to NGN 20,000</t>
  </si>
  <si>
    <t>Covered up to NGN 30,000</t>
  </si>
  <si>
    <t>Covered up to $100</t>
  </si>
  <si>
    <t>On-site Health Checks , Health Talks/ Webinar. Health Edu Series</t>
  </si>
  <si>
    <t xml:space="preserve">DAY TO DAY BENEFITS (Out-Patient) </t>
  </si>
  <si>
    <t>TREATMENT OF CONDITIONS THAT DO NOT REQUIRE THE PATIENT TO BE ADMITTED IN THE HOSPITAL</t>
  </si>
  <si>
    <t>GP consultations within network</t>
  </si>
  <si>
    <t>Specialist consultations within network</t>
  </si>
  <si>
    <t>Telemedicine consultations</t>
  </si>
  <si>
    <t>Prescribed Medications</t>
  </si>
  <si>
    <t>Laboratory Tests, Ultrasound and X-Rays</t>
  </si>
  <si>
    <t>TELEMEDICINE AND TELECONSULTATION</t>
  </si>
  <si>
    <t>Instant Telemedicine call with Doctors</t>
  </si>
  <si>
    <t>24/7 Emergency response via the Leadway Health APP</t>
  </si>
  <si>
    <t>Chats with Doctors and Nurses when in need of any routine medical information</t>
  </si>
  <si>
    <t>GPS-enabled access to hospital directories whenhospital information is needed</t>
  </si>
  <si>
    <t>HOSPITILIZATION BENEFITS</t>
  </si>
  <si>
    <t>CONDITIONS REQUIRING HOSPITALIZATION, INCLUDING SPECIALIST CONSULTATIONS, THEATRE, ACCOMMODATION, BASIC RADIOLOGY, MEDICATION AND PATHOLOGY. SUBJECT TO PRE-AUTHORISATION AND CLINICAL PROTOCOLS. COVERED, OUT OF OVERALL LIMITS</t>
  </si>
  <si>
    <t>Admission</t>
  </si>
  <si>
    <t>General ward (Unlimited)</t>
  </si>
  <si>
    <t>Unlimited(Semi Private ward)</t>
  </si>
  <si>
    <t>Unlimited (Private ward)</t>
  </si>
  <si>
    <t>Accommodation for parent whose infant is on admission</t>
  </si>
  <si>
    <t>2 days</t>
  </si>
  <si>
    <t>3 days</t>
  </si>
  <si>
    <t>7 days</t>
  </si>
  <si>
    <t>Ambulance Services</t>
  </si>
  <si>
    <t>Psychiatric hospitalization</t>
  </si>
  <si>
    <t>5 days</t>
  </si>
  <si>
    <t>10 days</t>
  </si>
  <si>
    <t>Outpatient Psychiatry care (12 weeks)</t>
  </si>
  <si>
    <t>MATERNITY</t>
  </si>
  <si>
    <t>BABY WELLNESS PROGRAMME, ANTE-NATAL, INCLUDING PRE AND POST-NATAL CARE, CHILDBIRTH BY EMERGENCY OR MEDICALLY INDICATED ELECTIVE C-SECTION (SUBJECT TO PRE-AUTHORIZATION), MATERNITY COMPLICATIONS, ULTRASOUND SCANS, ECTOPIC PREGNANCIES. LIMITS ARE PER PREGNANCY</t>
  </si>
  <si>
    <t>Within Leadway Hospital Network (ANC, Maternity and Postcare)</t>
  </si>
  <si>
    <t>ANC + Delivery – $5000 with 10months moratorium</t>
  </si>
  <si>
    <t>Out of Network</t>
  </si>
  <si>
    <t>ANC + Delivery -N75,000 CS Delivery- N150,000</t>
  </si>
  <si>
    <t>ANC + Delivery -N100,00 CS Delivery- N200,00</t>
  </si>
  <si>
    <t>ANC + Delivery -N125,000 CS Delivery- N250,000</t>
  </si>
  <si>
    <t>ANC + Delivery -N150,000 CS Delivery- N300,000</t>
  </si>
  <si>
    <t>ANC + Delivery -N175,000 CS Delivery- N350,000</t>
  </si>
  <si>
    <t>ANC + Delivery – $5000 with 10 months moratorium</t>
  </si>
  <si>
    <t>Maternity complications*</t>
  </si>
  <si>
    <t>Neonatal care (including incubator)</t>
  </si>
  <si>
    <t>Cover up to NGN500,000</t>
  </si>
  <si>
    <t>Cover up to NGN750,000</t>
  </si>
  <si>
    <t>Cover up to NGN3,500,000</t>
  </si>
  <si>
    <t>Cover up to NGN5,000,000</t>
  </si>
  <si>
    <t>Cover up to NGN7,500,000</t>
  </si>
  <si>
    <t>Cover up to NGN10,000,000</t>
  </si>
  <si>
    <t>Cover up to $5,000</t>
  </si>
  <si>
    <t>Reimbursements for delivery abroad</t>
  </si>
  <si>
    <t>Not covered</t>
  </si>
  <si>
    <t>Vaginal Delivery N150,000/ CS Delivery N250,000</t>
  </si>
  <si>
    <t>Vaginal Delivery N200,000/ CS Delivery N350,000</t>
  </si>
  <si>
    <t>Vaginal Delivery / CS Delivery covered up to USD 5000</t>
  </si>
  <si>
    <t>Family Planning</t>
  </si>
  <si>
    <t>Pills, Injectibles, Copper IUCD, tubal ligation (only during CS) and vasectomy</t>
  </si>
  <si>
    <t>Pills, Injectibles, Copper IUCD, Vasectomy, Tubal Ligation (only during CS) and Norplant</t>
  </si>
  <si>
    <t>Male Circumcision and Ear Piercing</t>
  </si>
  <si>
    <t>Congenital anomaly treatment (only on children born within the plan)</t>
  </si>
  <si>
    <t>Limit of N 250,000 per annum</t>
  </si>
  <si>
    <t>Limit of N 300,000 per annum</t>
  </si>
  <si>
    <t>Limit of N 500,000 per annum</t>
  </si>
  <si>
    <t>Limit of 1million per annum</t>
  </si>
  <si>
    <t>Limit of $2000 per annum</t>
  </si>
  <si>
    <t>IMMUNISATIONS</t>
  </si>
  <si>
    <t>ONLY DRAWN FROM MOTHER’S BENEFIT WITHIN 30 DAYS OF BABY’S BIRTH OR UNTIL BABY IS REGISTERED AS AN ENROLLEE, WHICHEVER IS EARLIER. COVERED UP TO s500</t>
  </si>
  <si>
    <t>NPI Immunization for 0-5 year: BCG, Measles, DPT, Oral polio, Vitamin A supplementation, Pentavalent vaccine,Yellow Fever Measles, Hepatitis B, HIB</t>
  </si>
  <si>
    <t>Additional Immunisations (For ages 0-5 years): Chickent Pox, MMR, Pneumococcal, Meningitis, Typhoid, Rotavirus</t>
  </si>
  <si>
    <t>Addition Immunization (above 6 - 17 years): Yellow Fever, Meningitis, Hepatitis B</t>
  </si>
  <si>
    <t>Hepatitis B, Yellow Fever</t>
  </si>
  <si>
    <t>Baby Wellness Programme</t>
  </si>
  <si>
    <t>MAJOR DISEASES</t>
  </si>
  <si>
    <t>CANCER TREATMENT (CHEMOTHERAPY, MEDICATION, SURGERY), MAJOR ORGAN DISEASES- KIDNEY DIALYSIS, ORGAN TRANSPLANTS, OTHER MAJOR ORGAN DISEASES. ALL DRAWN FROM MAJOR DISEASE LIMITS, SUBJECT TO OVERALL LIMIT AND PRE-AUTHORISATION</t>
  </si>
  <si>
    <t>Major Disease limit (Cancer care, Stroke )</t>
  </si>
  <si>
    <t>Covered up to 300,000</t>
  </si>
  <si>
    <t>Covered up to 400,000</t>
  </si>
  <si>
    <t>Covered up to N1,000,000</t>
  </si>
  <si>
    <t>Covered up to  N2,000,000</t>
  </si>
  <si>
    <t>Covered up to  N3,000,000</t>
  </si>
  <si>
    <t>$100,000</t>
  </si>
  <si>
    <t>Renal Dialysis</t>
  </si>
  <si>
    <t>4 Sessions</t>
  </si>
  <si>
    <t>6 Sessions</t>
  </si>
  <si>
    <t>10 Sessions</t>
  </si>
  <si>
    <t>SURGERIES</t>
  </si>
  <si>
    <t>THIS PROVIDE COVER FOR MINOR, INTERMEDIATE AND MAJOR SURGERIES INCLUDING THE COST OF ADMISSION, SURGEON, NURSING, ANESTHESIA, THEATRE, DRUGS AND OTHER CONSUMABLES. COVERED FROM THE OVERALL LIMITS AND SUBJECT TO PREAUTHORIZATION</t>
  </si>
  <si>
    <t>Minor, Intermediate, Major Surgeries &amp; Tertiary Surgeries</t>
  </si>
  <si>
    <t>Covered up to NGN 400,000.00</t>
  </si>
  <si>
    <t>Covered up to NGN 500,000</t>
  </si>
  <si>
    <t>Anaesthesia, Surgeon, Admission, Drugs, Surgical supplies/ Consumables, administration of blood or blood products, etc</t>
  </si>
  <si>
    <t>Non-Invasive Surgeries &amp; Spine Surgeries- Covered from surgery Limit</t>
  </si>
  <si>
    <t>Covered up to(N300,000)</t>
  </si>
  <si>
    <t>Covered up to(N400,000)</t>
  </si>
  <si>
    <t>$2,0000</t>
  </si>
  <si>
    <t>OPHTHALMOLOGICAL</t>
  </si>
  <si>
    <t>TREATMENTS OF THE EYE</t>
  </si>
  <si>
    <t>Primary eye care (consultation, examination, simple/primary infection, medications, eye tests; Tonometry/Intra-Ocular Pressure, Refraction, Fundoscopy, and Slit Lamp</t>
  </si>
  <si>
    <t>Secondary eye care (Pachymetry, Central Visual Field, Indirect Opthalmoscopy, Depth Perception Test, Shirmer’s Tear Test, Amsler Test, Retina Photography, OCT Scan, A Scan, B Scan)</t>
  </si>
  <si>
    <t>Lenses &amp; Frames (Once in Two Years)</t>
  </si>
  <si>
    <t>N20,000</t>
  </si>
  <si>
    <t>N25,000</t>
  </si>
  <si>
    <t>N45,000</t>
  </si>
  <si>
    <t>N65,000</t>
  </si>
  <si>
    <t>N70,000</t>
  </si>
  <si>
    <t>N110,000</t>
  </si>
  <si>
    <t>$250***</t>
  </si>
  <si>
    <t>Surgeries subject to pre-authorization and overall limits</t>
  </si>
  <si>
    <t>Covered up to overall surgery limit</t>
  </si>
  <si>
    <t>Up to 750,000</t>
  </si>
  <si>
    <t>Up to 1,000,000</t>
  </si>
  <si>
    <t>Up to 1,500,000</t>
  </si>
  <si>
    <t>ENT</t>
  </si>
  <si>
    <t>EAR, NOSE &amp; THROAT TREATMENTS</t>
  </si>
  <si>
    <t>Treatment of ENT diseases</t>
  </si>
  <si>
    <t>Surgeries subject to pre-authorisation</t>
  </si>
  <si>
    <t>DENTISTRY</t>
  </si>
  <si>
    <t>TREATMENTS OF THE TEETH, ALL DRAWN FROM OUT-PATIENT LIMITS</t>
  </si>
  <si>
    <t>Primary (Basic) Dental</t>
  </si>
  <si>
    <t>N30,000</t>
  </si>
  <si>
    <t>N50,000</t>
  </si>
  <si>
    <t>N120,000</t>
  </si>
  <si>
    <t>N200,000</t>
  </si>
  <si>
    <t>N250,000</t>
  </si>
  <si>
    <t>N300,000</t>
  </si>
  <si>
    <t>$1200</t>
  </si>
  <si>
    <t>Secondary (Specialised) Dental</t>
  </si>
  <si>
    <t>DIAGNOSTICS</t>
  </si>
  <si>
    <t>MEDICAL INVESTIGATIONS REQUIRED TO DIAGNOSIS CONDITION OF PATIENT</t>
  </si>
  <si>
    <t>Pathology (laboratory services)</t>
  </si>
  <si>
    <t>Basic Radiology (black &amp; white X rays &amp; abdominal &amp; pelvic ultrasonography)</t>
  </si>
  <si>
    <t>Fertility Services (consultation &amp; investigation only)</t>
  </si>
  <si>
    <t>n/a</t>
  </si>
  <si>
    <t>Counseling, SFA, USS (covered up to N30,000)</t>
  </si>
  <si>
    <t>Counseling, SFA, USS (covered up to N40,000)</t>
  </si>
  <si>
    <t>Counseling, USS, SFA, HSG, Hormonal Assay (Covered up to 100,000)</t>
  </si>
  <si>
    <t>Counseling, USS, SFA, HSG, Hormonal Assay, Hysteroscopy</t>
  </si>
  <si>
    <t>Counseling, USS, SFA, HSG, Hormonal Assay, Hysteroscopy (up to 200,000)</t>
  </si>
  <si>
    <t>Counseling, USS, SFA, HSG, Hormonal Assay, Hysteroscopy (up to 300,000)</t>
  </si>
  <si>
    <t>(up to 150,000)</t>
  </si>
  <si>
    <t>Echochadiogram,Electrocardiogram Rest (ECG), Spirometry, Electroencephalogram</t>
  </si>
  <si>
    <t>Advanced Investigations- MRI, CT scan</t>
  </si>
  <si>
    <t>Covered up to N70,000</t>
  </si>
  <si>
    <t>Covered  up to N100,000</t>
  </si>
  <si>
    <t>PHYSIOTHERAPY</t>
  </si>
  <si>
    <t>COVERED AND SUBJECT TO PRE-AUTHORISATION</t>
  </si>
  <si>
    <t>Physiotherapy sessions</t>
  </si>
  <si>
    <t>EXTERNAL MEDICAL DEVICES &amp;</t>
  </si>
  <si>
    <t>Covered up to 50,000</t>
  </si>
  <si>
    <t>Covered up to 70,000</t>
  </si>
  <si>
    <t>Covered up to 100,000</t>
  </si>
  <si>
    <t>Covered up to 150,000</t>
  </si>
  <si>
    <t>APPLIANCES such as crutches, neck collars etc Limits are per incident. Subject to overall limits and pre-authorisation</t>
  </si>
  <si>
    <t>CHRONIC DISEASES TREATMENT</t>
  </si>
  <si>
    <t>CONDITIONS THAT REQUIRE CONTINUOUS TREATMENT FOR MORE THAN 3 MONTHS. FOR EXAMPLE, HYPERTENSION, DIABETES, HIV, ASTHMA AND SO ON. TREATMENT AND MEDICATION COVERED FROM CHRONIC CONDITIONS LIMITS, SUBJECT TO OUT-PATIENT LIMITS WHERE APPLICABLE. SUBJECT TO PRE-AUTHORIZATION</t>
  </si>
  <si>
    <t>Management and treatment of Chronic illnesses</t>
  </si>
  <si>
    <t>Covered up to 500,000</t>
  </si>
  <si>
    <t>Personal Health equipment for Chronic condition</t>
  </si>
  <si>
    <t>Glucometer or Sphygmomanometer</t>
  </si>
  <si>
    <t>ROUTINE HEALTH CHECKS (Offered as a complimentary benefit). Subject to pre-authorisation</t>
  </si>
  <si>
    <t>Age 22+/All Gender: (Physical, BP, Urinalysis, PCV, Blood Sugar &amp; Cholesterol</t>
  </si>
  <si>
    <t>Age 22+/All Gender: (Physical, BP, Urinalysis, PCV, Blood Sugar, Chest Xray, Serum Cholesterol, Liver Function test, Electrolyte, Urea, Creatinine, Cervical smears every 2 years for Women&gt;30 years PSA for Men abover 40yrs</t>
  </si>
  <si>
    <t>Age 22+/All Gender: (Physical, BP, Urinalysis, PCV, Blood Sugar, Chest Xray, ECG, Serum Cholesterol, Liver Function test, Electrolyte, Urea, Creatinine, Annual Mammogram for Women &gt;40, Breast scan for Women &gt;30,Cervical smears every 2 years for Women&gt;30 years PSA for Men abover 40yrs</t>
  </si>
  <si>
    <t>Age 22+/All Gender: (Physical, BP, Urinalysis, PCV, Blood Sugar, Chest Xray, ECG, Serum Cholesterol, Liver Function test, Electrolyte,Urea, Creatinine, Annual Mammogram for Women &gt;40, Breast scan for Women&gt;30,Cervical smears every 2 years for Women&gt;30 years PSA for Men abover 40yrs</t>
  </si>
  <si>
    <t>Covered up to $1250</t>
  </si>
  <si>
    <t>EMERGENCY</t>
  </si>
  <si>
    <t>Stabilization, Emergency medications and investigations including CT scans and MRI</t>
  </si>
  <si>
    <t>Intensive Care ward within network</t>
  </si>
  <si>
    <t>Cover up to 500,000</t>
  </si>
  <si>
    <t>Cover up to 1,000,000</t>
  </si>
  <si>
    <t>Cover up to 3,500,000</t>
  </si>
  <si>
    <t>Cover up to 6,500,000</t>
  </si>
  <si>
    <t>Cover up to 10,000,000</t>
  </si>
  <si>
    <t>Cover up to $10,000</t>
  </si>
  <si>
    <t>ADDITIONAL BENEFITS</t>
  </si>
  <si>
    <t>Pharmacy Benefit Management</t>
  </si>
  <si>
    <t>Discounts at Nutritional Stores</t>
  </si>
  <si>
    <t>Mortuary fee per Family</t>
  </si>
  <si>
    <t>Covered up to 250,000</t>
  </si>
  <si>
    <t>Covered up to $150</t>
  </si>
  <si>
    <t>Online Zumba &amp; Tabatha dance classes</t>
  </si>
  <si>
    <t>Personal Accident for Principal</t>
  </si>
  <si>
    <t>N100,000</t>
  </si>
  <si>
    <t>Vaccination at home (at selected cities)</t>
  </si>
  <si>
    <t>Travel Insurance on Principal</t>
  </si>
  <si>
    <t>2 Weeks</t>
  </si>
  <si>
    <t>4 Weeks</t>
  </si>
  <si>
    <t>HIV/AIDS Diagnosis + treatment (at free specialist centers)</t>
  </si>
  <si>
    <t>Second opinion service by Experts local and abroad</t>
  </si>
  <si>
    <t>International evacuation</t>
  </si>
  <si>
    <t>$50,000</t>
  </si>
  <si>
    <t>Employee Assistance Programme (EAP)</t>
  </si>
  <si>
    <t>Free Uber ride to Network Hospital</t>
  </si>
  <si>
    <t>ACCESS TO I-FITNESS GYM</t>
  </si>
  <si>
    <t>ACCESS TO EURACARE &amp; DUCHESS HOSPITAL</t>
  </si>
  <si>
    <t>INDIVIDUAL PREMIUM</t>
  </si>
  <si>
    <t>FAMILY PREMIUM</t>
  </si>
  <si>
    <t>Benefit sub-Categories</t>
  </si>
  <si>
    <t xml:space="preserve">Category D </t>
  </si>
  <si>
    <t>Category C+D</t>
  </si>
  <si>
    <t>Local In-country + India</t>
  </si>
  <si>
    <t>Local In-country + India + UAE</t>
  </si>
  <si>
    <t>Local In-country + Africa + India + UAE</t>
  </si>
  <si>
    <t>NGN 250,000</t>
  </si>
  <si>
    <t>HOSPITALISATION BENEFITS</t>
  </si>
  <si>
    <t>Ward Type</t>
  </si>
  <si>
    <t xml:space="preserve">15 days (General ward ) </t>
  </si>
  <si>
    <t xml:space="preserve">20 days (General ward) </t>
  </si>
  <si>
    <t xml:space="preserve">Unlimited (Semi-Private ward) </t>
  </si>
  <si>
    <t xml:space="preserve">Unlimited (Private ward) </t>
  </si>
  <si>
    <t>4 days</t>
  </si>
  <si>
    <t xml:space="preserve">Psychiatric hospitalization </t>
  </si>
  <si>
    <t>Limit 3 days  per annum</t>
  </si>
  <si>
    <t>Limit 5 days per annum</t>
  </si>
  <si>
    <t>Limit 7 days per annum</t>
  </si>
  <si>
    <t>Limit 10 days per annum</t>
  </si>
  <si>
    <t>Limit 15 days per annum</t>
  </si>
  <si>
    <t>Major Disease limit</t>
  </si>
  <si>
    <t>Limit of 100,000 per annum</t>
  </si>
  <si>
    <t>Limit of 200,000 per annum</t>
  </si>
  <si>
    <t>Limit of 300,000 per annum</t>
  </si>
  <si>
    <t>Limit of 500,000 per annum</t>
  </si>
  <si>
    <t>Limit of 1 million per annum</t>
  </si>
  <si>
    <t>ACUTE RENAL DIALYSIS</t>
  </si>
  <si>
    <t>2 sessions per annum</t>
  </si>
  <si>
    <t>2 sessions per annum,</t>
  </si>
  <si>
    <t>Covered up to major disease limit</t>
  </si>
  <si>
    <t>Surgeries</t>
  </si>
  <si>
    <t>Up to N250,000</t>
  </si>
  <si>
    <t>Up to N350,000</t>
  </si>
  <si>
    <t>Up to N500,000</t>
  </si>
  <si>
    <t>Anaesthesia,Surgical supplies/Consumables, administration of blood or blood products, etc</t>
  </si>
  <si>
    <t>DAY TO DAY BENEFITS (Out-Patient)</t>
  </si>
  <si>
    <t>4 per Annum</t>
  </si>
  <si>
    <t>6 per Annum</t>
  </si>
  <si>
    <t>10 per Annum</t>
  </si>
  <si>
    <t>Medication</t>
  </si>
  <si>
    <t>Primary eye care (consultation, examination, simple/primary infection, medications, eye tests)</t>
  </si>
  <si>
    <t>Lenses &amp; Frames (Once every two years)</t>
  </si>
  <si>
    <t xml:space="preserve">Limit of 7,500 </t>
  </si>
  <si>
    <t>Limit of 10,000</t>
  </si>
  <si>
    <t>Limit of 20,000</t>
  </si>
  <si>
    <t>Limit of 30,000</t>
  </si>
  <si>
    <t>Limit of 40,000 </t>
  </si>
  <si>
    <t>Subject to Surgical limit</t>
  </si>
  <si>
    <t>Basic Dentistry - Full mouth assessment, intra oral radiographs, scale &amp; polish, extractions, emergency root canal treatment, fillings, pain and sepsis treatment</t>
  </si>
  <si>
    <t>Limit of 10,000 per annum</t>
  </si>
  <si>
    <t>Limit of 20,000 per annum</t>
  </si>
  <si>
    <t>Limit of 60,000 per annum</t>
  </si>
  <si>
    <t>Limit of 80,000 per annum</t>
  </si>
  <si>
    <t xml:space="preserve">Specialized Dentistry - Bridgework or crowns, surgical extraction, orthodontic treatment (Only on ages less than 18 years), and dentures(subject to pre-authorization)
</t>
  </si>
  <si>
    <t xml:space="preserve">Covered </t>
  </si>
  <si>
    <t>Counseling, SFA, USS ( covered up to N20,000)</t>
  </si>
  <si>
    <t>Counseling, USS, SFA, HSG, Hormonal Assay  (Covered up to 35,000)</t>
  </si>
  <si>
    <t>Counseling, USS, SFA, HSG, Hormonal Assay, Hysteroscopy  (up to 50,000)</t>
  </si>
  <si>
    <t>Counseling, USS, SFA, HSG, Hormonal Assay, Hysteroscopy  (up to 75,000)</t>
  </si>
  <si>
    <t>Advanced Investigations- Echochadiogram, MRI, CT scan, Electrocardiogram (ECG), Spirometry, Electroencephalogram</t>
  </si>
  <si>
    <t>Limit of 30,000 per annum</t>
  </si>
  <si>
    <t>Limit of 50,000 per annum</t>
  </si>
  <si>
    <t>Limit of 70,000 per annum</t>
  </si>
  <si>
    <t>Limit of 150,000 per annum</t>
  </si>
  <si>
    <t>EXTERNAL MEDICAL DEVICES &amp; APPLIANCES such as crutches, neck collars etc  Limits are per incident. Subject to overall limits and pre-authorisation</t>
  </si>
  <si>
    <t>Limit of 25,000 per annum</t>
  </si>
  <si>
    <t>Limit of 120,000 per annum</t>
  </si>
  <si>
    <t xml:space="preserve">CHRONIC DISEASES TREATMENT </t>
  </si>
  <si>
    <t>Chronic Diseases consultations with Specialists</t>
  </si>
  <si>
    <t>Subject to Specialist Annual  Limits</t>
  </si>
  <si>
    <t xml:space="preserve">Equipment for chronic conditions monitoring (Glucometer and/or sphygmomanometer). </t>
  </si>
  <si>
    <t xml:space="preserve">Glucometer or Sphygmomanometer  </t>
  </si>
  <si>
    <t xml:space="preserve">Glucometer or Sphygmomanometer </t>
  </si>
  <si>
    <t>Management of Chronic Conditions (Pharmacy Benefit)</t>
  </si>
  <si>
    <t>50,000 per annum</t>
  </si>
  <si>
    <t>80,000 per annum</t>
  </si>
  <si>
    <t>150,000 per annum</t>
  </si>
  <si>
    <t>200,000 per annum</t>
  </si>
  <si>
    <t>250,000 per annum</t>
  </si>
  <si>
    <t>Physical examination, BMI, Urinalysis, PCV, blood pressure&amp; Genotype</t>
  </si>
  <si>
    <t>Age 22+/All Gender: (Physical, BP, HIV, Cholesterol, Blood sugar, PCV, and Urinalysis) once every year</t>
  </si>
  <si>
    <t>Age 22+/All Gender: (Physical, BP, HIV, Cholesterol, Blood sugar, PCV, Urinalysis, once every year; Age 40+ Males: PSA every 3 years. Age 40+ Females: Mammogram every 3 years</t>
  </si>
  <si>
    <t>Age 22+/All Gender: (Physical, BP, HIV, Cholesterol, Blood sugar, PCV, Urinalysis, LFT, E/u/Cr and ECG) once every year;Age 30+ Females: Pap smear and physical breast examination, every 3 years. Age 40+ Males: PSA every 3 years. Age 40+ Females: Mammogram every 3 years</t>
  </si>
  <si>
    <t xml:space="preserve">MATERNITY </t>
  </si>
  <si>
    <t xml:space="preserve">Maternity at a hospital that is registered with the Leadway Health Cover Maternity Programme (includes natural birth and non-elective C-section delivery, pre- and post-natal care) </t>
  </si>
  <si>
    <t>Covered  up to 200,000</t>
  </si>
  <si>
    <t>Covered  up to 300,000</t>
  </si>
  <si>
    <t>Covered  up to 400,000</t>
  </si>
  <si>
    <t>Covered  up to 500,000</t>
  </si>
  <si>
    <t xml:space="preserve">Maternity complications  </t>
  </si>
  <si>
    <t>Maternity if not registered with the Leadway Health Cover Maternity Programme paid up to Leadway Tariffs to the maximum indicated and from overall limits. (Includes antenatal care natural birth and non-elective C-section delivery, pre- and post-natal care, complications, neo-natal care. Refunded to member only). Subject to pre-authorisation</t>
  </si>
  <si>
    <t>Normal delivery (including pre- and post- natal care and childbirth) 75,000 Childbirth by C-section (where medically necessary and subject to pre-authorisation) up to a maximum 150,000</t>
  </si>
  <si>
    <t>Normal delivery (including pre- and post- natal care and childbirth) 100,000 Childbirth by C-section (where medically necessary and subject to pre-authorisation) up to a maximum 200,000</t>
  </si>
  <si>
    <t>Normal delivery (including pre- and post- natal care and childbirth) 125,000 Childbirth by C-section (where medically necessary and subject to pre-authorisation) up to a maximum of 250,000</t>
  </si>
  <si>
    <t>Normal delivery (including pre- and post- natal care and childbirth) 150,000 Childbirth by C-section (where medically necessary and subject to pre-authorisation) up to a maximum of 300,000</t>
  </si>
  <si>
    <t>Normal delivery (including pre- and post- natal care and childbirth) 175,000 Childbirth by C-section (where medically necessary and subject to pre-authorisation) up to a maximum of 350,000</t>
  </si>
  <si>
    <t>Same limits as for delivery outside of network 100,000</t>
  </si>
  <si>
    <t>Same limits as for delivery outside of network 150,000</t>
  </si>
  <si>
    <t>Same limits as for delivery outside of network 200,000</t>
  </si>
  <si>
    <t>Neonatal care (incubator, phototherapy, congenital conditions, intensive care including life support, neo-natal sepsis)Subject to overall limits and pre-authorisation</t>
  </si>
  <si>
    <t>Family Planning (Pills, injectable, copper IUCD, tubal ligation and Vasectomy)</t>
  </si>
  <si>
    <t>Pills, Injectibles, Copper IUCD</t>
  </si>
  <si>
    <t>Pills, Injectibles, Copper IUCD, Vasectomy, Tubal Ligation (only during CS)</t>
  </si>
  <si>
    <t>Pills, Injectibles, Copper IUCD,  Vasectomy, Tubal Ligation (only during CS)  </t>
  </si>
  <si>
    <t>Congenital anomaly treatment (only on children born within the plan) subject to overall limits and pre-authorisation</t>
  </si>
  <si>
    <t>Limit of N 200,000 per annum</t>
  </si>
  <si>
    <t>Limit of N 350,000 per annum</t>
  </si>
  <si>
    <t>Primary care including circumcision, ear piercing, subject to pre-authorisation</t>
  </si>
  <si>
    <t>Mortuary</t>
  </si>
  <si>
    <t>Limit of 0.1million
per annum</t>
  </si>
  <si>
    <t>Limit of 0.2million
per annum</t>
  </si>
  <si>
    <t>2 weeks</t>
  </si>
  <si>
    <t>On-site Health Checks , Health Talks/ Education forum or wellness fairs</t>
  </si>
  <si>
    <t>SME RULES</t>
  </si>
  <si>
    <t>There must be a minimum of 10 Principal lives on the higher plan to buy 2 plans</t>
  </si>
  <si>
    <t>For policies with less than 20 principal members, maternity benefits are only accessible for the members on the family plans.</t>
  </si>
  <si>
    <r>
      <t xml:space="preserve">Premium quoted only valid for </t>
    </r>
    <r>
      <rPr>
        <b/>
        <sz val="11"/>
        <color theme="1"/>
        <rFont val="Source Sans Pro"/>
        <family val="2"/>
      </rPr>
      <t>30</t>
    </r>
    <r>
      <rPr>
        <sz val="11"/>
        <color theme="1"/>
        <rFont val="Source Sans Pro"/>
        <family val="2"/>
      </rPr>
      <t xml:space="preserve"> days</t>
    </r>
  </si>
  <si>
    <t>Upgrades are only allowed either during the commencement month or at renewals.</t>
  </si>
  <si>
    <t>No replacement after 6 months of the policy being in force.</t>
  </si>
  <si>
    <t>Major Exclusions</t>
  </si>
  <si>
    <t>Pre-existing conditions specifically listed in the medical questionnaire but not disclosed</t>
  </si>
  <si>
    <t>Donor costs associated with Transplant surgeries</t>
  </si>
  <si>
    <t>Plastic/cosmetic surgeries  and cosmetic treatment</t>
  </si>
  <si>
    <t xml:space="preserve">Other investigations and treatment for problems relating to infertility e.g. hydrotubation, hysterosalpingogram, I.V.F, G.I.F.T and artificial insemination </t>
  </si>
  <si>
    <t>Virility enhancing drugs</t>
  </si>
  <si>
    <t>Herbal drugs, non-prescription drugs, food supplements</t>
  </si>
  <si>
    <t xml:space="preserve">Experimental drugs and treatment </t>
  </si>
  <si>
    <t xml:space="preserve">Pre – School Health examinations </t>
  </si>
  <si>
    <t>Treatment for newborns not registered on the plan after 6weeks of birth.</t>
  </si>
  <si>
    <t>Neonatal care not listed under neonatal services</t>
  </si>
  <si>
    <t xml:space="preserve">Congenital abnormalities </t>
  </si>
  <si>
    <t>Self-inflicted injuries – including suicide or attempted suicide, abuse of alcohol and drug addiction or abuse</t>
  </si>
  <si>
    <t>Speech disorders</t>
  </si>
  <si>
    <t>Sleep studies</t>
  </si>
  <si>
    <t xml:space="preserve">Prosthetics, Dental and Surgical Implants </t>
  </si>
  <si>
    <t xml:space="preserve">Breast reductions or enlargements </t>
  </si>
  <si>
    <t>Humidifiers</t>
  </si>
  <si>
    <t>Hormonal therapy (Anabolic Steroids and testosterone, Immunomodulators)</t>
  </si>
  <si>
    <t>Autopsies</t>
  </si>
  <si>
    <t>Domiciliary/Hospice Care</t>
  </si>
  <si>
    <t>Conditions caused by an act of war, an epidemic or Enrolee participating in a riot</t>
  </si>
  <si>
    <t>Services primarily for weight reduction or treatment of obesity</t>
  </si>
  <si>
    <t>Professional Sports and wilful exposure to needless danger</t>
  </si>
  <si>
    <t>Spine surgery</t>
  </si>
  <si>
    <t>Laparoscopic surgery</t>
  </si>
  <si>
    <t>Epidural for normal delivery</t>
  </si>
  <si>
    <t>All procedures, management and investigations not covered by the plan</t>
  </si>
  <si>
    <t>PLAN 1</t>
  </si>
  <si>
    <t>PLAN 2</t>
  </si>
  <si>
    <t>PLAN 3</t>
  </si>
  <si>
    <t>PLAN 4</t>
  </si>
  <si>
    <t>BENEFIT CATEGORIES</t>
  </si>
  <si>
    <t>SENIOR CRANBERRY</t>
  </si>
  <si>
    <t>SENIOR BLUEBERRY</t>
  </si>
  <si>
    <t>SENIOR BLACKBERRY</t>
  </si>
  <si>
    <t>SENIOR RASPBERRY</t>
  </si>
  <si>
    <t xml:space="preserve">Premium (Age 55-69)  New Price </t>
  </si>
  <si>
    <t>Premium (Age 70-79)  New Price</t>
  </si>
  <si>
    <t>Region of Cover</t>
  </si>
  <si>
    <t>Nigeria</t>
  </si>
  <si>
    <t>Hospital Network</t>
  </si>
  <si>
    <t>Category D+C</t>
  </si>
  <si>
    <t>Category D+C+B</t>
  </si>
  <si>
    <t>Inpatient Limit</t>
  </si>
  <si>
    <t>Outpatient Limit</t>
  </si>
  <si>
    <t>Section 1: OUTPATIENT CARE</t>
  </si>
  <si>
    <t>General Consultations</t>
  </si>
  <si>
    <t>Specialist Consultations (Internal Medicine Generalist only)</t>
  </si>
  <si>
    <t>Max of 3 per annum</t>
  </si>
  <si>
    <t>Max of 5 per annum</t>
  </si>
  <si>
    <t>Max of 7 per annum</t>
  </si>
  <si>
    <t>Max of 10 per annum</t>
  </si>
  <si>
    <t xml:space="preserve">Medication </t>
  </si>
  <si>
    <t>Subject to Outpatient limit</t>
  </si>
  <si>
    <t>Telemedicine Consultations</t>
  </si>
  <si>
    <r>
      <t>Basic Laboratory services based on the clinician</t>
    </r>
    <r>
      <rPr>
        <sz val="14"/>
        <color rgb="FF000000"/>
        <rFont val="Source Sans Pro"/>
        <family val="2"/>
      </rPr>
      <t xml:space="preserve"> -(FBC, PCV, HB, WBC, MP, Widal, Urinalysis, FBS, Stool Occult Blood</t>
    </r>
  </si>
  <si>
    <r>
      <t>Treatment for common acute illnesses including:</t>
    </r>
    <r>
      <rPr>
        <sz val="14"/>
        <color rgb="FF000000"/>
        <rFont val="Source Sans Pro"/>
        <family val="2"/>
      </rPr>
      <t xml:space="preserve"> Malaria and other uncomplicated  febrile illnesses, </t>
    </r>
  </si>
  <si>
    <t>Diarrhoeal Diesases, Acute Respirationry Tract Infections, Uncomplicated pneumonia, simple anaemia not requiring blood transfusion, simple skin diseases, worm infestation, minor musculoskeletal ailments</t>
  </si>
  <si>
    <r>
      <t>Chronic Disease Management:</t>
    </r>
    <r>
      <rPr>
        <sz val="14"/>
        <color rgb="FF000000"/>
        <rFont val="Source Sans Pro"/>
        <family val="2"/>
      </rPr>
      <t xml:space="preserve"> Provides cover for the out-patient treatment of arthritis, asthma, hypertension and diabetes mellitus and osteoarthritis only. </t>
    </r>
  </si>
  <si>
    <t>Chronic Medicine Refill (Drugs to be supplied by the Pharmacy Benefit Management only)</t>
  </si>
  <si>
    <t>400,000 per annum</t>
  </si>
  <si>
    <t>500,000 per annum</t>
  </si>
  <si>
    <t>750,000 per annum</t>
  </si>
  <si>
    <t>1,000,000 per annum</t>
  </si>
  <si>
    <t>Ear, Nose and Throat care</t>
  </si>
  <si>
    <r>
      <t>Optical Care</t>
    </r>
    <r>
      <rPr>
        <sz val="14"/>
        <color rgb="FF000000"/>
        <rFont val="Source Sans Pro"/>
        <family val="2"/>
      </rPr>
      <t xml:space="preserve"> (Treatment of minor eye ailments including conjunctivitis, parasitic and allergic ailment)</t>
    </r>
  </si>
  <si>
    <t>Optical Care ( Frames and lenses) every 2 years</t>
  </si>
  <si>
    <t>Dental Care</t>
  </si>
  <si>
    <t>Physiotherapy</t>
  </si>
  <si>
    <t xml:space="preserve">Section 2: Inpatient </t>
  </si>
  <si>
    <t xml:space="preserve">Accommodation (excluding feeding): </t>
  </si>
  <si>
    <t xml:space="preserve">General Ward (14 cumulative days per </t>
  </si>
  <si>
    <t xml:space="preserve">Semi-Private Ward </t>
  </si>
  <si>
    <t xml:space="preserve">Private Ward </t>
  </si>
  <si>
    <t>annum)</t>
  </si>
  <si>
    <r>
      <t>Accidents &amp; Emergencies:</t>
    </r>
    <r>
      <rPr>
        <sz val="14"/>
        <color rgb="FF000000"/>
        <rFont val="Source Sans Pro"/>
        <family val="2"/>
      </rPr>
      <t xml:space="preserve"> Resuscitative or lifesaving initial treatment up to a maximum of the first 24 hours following an incident</t>
    </r>
  </si>
  <si>
    <t>₦50,000 per annum</t>
  </si>
  <si>
    <t>₦75,000 per annum</t>
  </si>
  <si>
    <t>₦100,000 per annum</t>
  </si>
  <si>
    <t>₦150,000 per annum</t>
  </si>
  <si>
    <t>Intensive Care Services</t>
  </si>
  <si>
    <t>Surgeries limit (Subject to waiting period of six (6) months)</t>
  </si>
  <si>
    <t>Advanced &amp; Complex Investigations (Subject to 3 months moratorium)</t>
  </si>
  <si>
    <r>
      <t>Ambulance</t>
    </r>
    <r>
      <rPr>
        <sz val="14"/>
        <color rgb="FF000000"/>
        <rFont val="Source Sans Pro"/>
        <family val="2"/>
      </rPr>
      <t>: Hospital to Hospital</t>
    </r>
  </si>
  <si>
    <r>
      <t>Basic X-Rays</t>
    </r>
    <r>
      <rPr>
        <sz val="14"/>
        <color rgb="FF000000"/>
        <rFont val="Source Sans Pro"/>
        <family val="2"/>
      </rPr>
      <t xml:space="preserve"> (Chest and Limbs only)</t>
    </r>
  </si>
  <si>
    <t>Max of 2 per year</t>
  </si>
  <si>
    <t>Max of 3 per year</t>
  </si>
  <si>
    <t>Max of 4 per year</t>
  </si>
  <si>
    <t>Max of 6 per year</t>
  </si>
  <si>
    <r>
      <t>Major Disease</t>
    </r>
    <r>
      <rPr>
        <sz val="14"/>
        <color rgb="FF000000"/>
        <rFont val="Source Sans Pro"/>
        <family val="2"/>
      </rPr>
      <t>: Oncology Tests, Drugs + Chemotherapy &amp; Radiotherapy, Stroke etc. (</t>
    </r>
    <r>
      <rPr>
        <b/>
        <i/>
        <sz val="14"/>
        <color rgb="FF000000"/>
        <rFont val="Source Sans Pro"/>
        <family val="2"/>
      </rPr>
      <t xml:space="preserve"> Only covered for enrollees newly diagnosed on the scheme after 12 months of enrolment</t>
    </r>
    <r>
      <rPr>
        <sz val="14"/>
        <color rgb="FF000000"/>
        <rFont val="Source Sans Pro"/>
        <family val="2"/>
      </rPr>
      <t>)</t>
    </r>
  </si>
  <si>
    <t>Covered up to 50% of Inpatient limit</t>
  </si>
  <si>
    <t>Adult Immunizations</t>
  </si>
  <si>
    <t>Yellow fever, meningitis, Hep B</t>
  </si>
  <si>
    <t>Health Checks (once a year, Subject to 6 months moratorium)</t>
  </si>
  <si>
    <t xml:space="preserve">BP, FBS, BMI, Total Cholesterol, Urinalysis </t>
  </si>
  <si>
    <t>BP, FBS, BMI, Total Cholesterol, Urinalysis</t>
  </si>
  <si>
    <t>BP, FBS, BMI, Cholesterol, Urinalysis, PSA, Pap smear</t>
  </si>
  <si>
    <t>BP, FBS, BMI, Cholesterol, Urinalysis, PSA, Pap smear, Mammogram (once every 3 years)</t>
  </si>
  <si>
    <t>Kidney Dialysis</t>
  </si>
  <si>
    <t>2 Sessions</t>
  </si>
  <si>
    <t>3 Sessions</t>
  </si>
  <si>
    <t>5 Sessions</t>
  </si>
  <si>
    <t>7 Sessions</t>
  </si>
  <si>
    <t>EXCLUSION</t>
  </si>
  <si>
    <t>Access to ONE Primary and Secondary Provider only</t>
  </si>
  <si>
    <t>Chronic medications must be collected from partner pharmacies</t>
  </si>
  <si>
    <t>SERVICE DESCRIPTION</t>
  </si>
  <si>
    <t>STRAWBERRY</t>
  </si>
  <si>
    <t>CRANBERRY</t>
  </si>
  <si>
    <t>BLUEBERRY</t>
  </si>
  <si>
    <t>BLACKBERRY</t>
  </si>
  <si>
    <t>RASPBERRY</t>
  </si>
  <si>
    <t>Nigeria &amp; India</t>
  </si>
  <si>
    <t xml:space="preserve">Nigeria &amp; India &amp; Africa </t>
  </si>
  <si>
    <t>Category Hospital Accessible (refer to the Hospital list please)</t>
  </si>
  <si>
    <t>Category D hospitals</t>
  </si>
  <si>
    <t>Category C + D hospitals</t>
  </si>
  <si>
    <t>Category B + C + D hospitals</t>
  </si>
  <si>
    <t>Telemedicine Services</t>
  </si>
  <si>
    <t>Chatwith Doctors and Nurseswhenin need of care during any medical emergency</t>
  </si>
  <si>
    <t>Freechatswith Doctors and Nurseswhen in need of any routine medical information</t>
  </si>
  <si>
    <t>GPS-enabled accessto hospital directories whenhospital information is needed</t>
  </si>
  <si>
    <t>Out-patient Services</t>
  </si>
  <si>
    <t>Out-patient limit</t>
  </si>
  <si>
    <t>NGN 150,000</t>
  </si>
  <si>
    <t>NGN 300,000</t>
  </si>
  <si>
    <t>NGN 500,000</t>
  </si>
  <si>
    <t>Out Patient Care, General and Specialist Consultation</t>
  </si>
  <si>
    <t>Subject to Out-patient limit</t>
  </si>
  <si>
    <t>X-Rays, Laboratory &amp; Diagnostic Tests (Including Rest ECG)</t>
  </si>
  <si>
    <t>Primary Eye Care- Consultation, Examination , Simple or primary infection or conditions and Medications</t>
  </si>
  <si>
    <t>ENT services</t>
  </si>
  <si>
    <t>Prescribed Medicines And Drugs (Non-Chronic)</t>
  </si>
  <si>
    <t>Prescribed Medicines And Drugs (Chronic)</t>
  </si>
  <si>
    <t>NGN 50,000</t>
  </si>
  <si>
    <t>NGN 75,000</t>
  </si>
  <si>
    <t>NGN 100,000</t>
  </si>
  <si>
    <t>NGN 200,000</t>
  </si>
  <si>
    <t>Advanced &amp; Complex Investigations (incl. CT Scan, MRI Scan)</t>
  </si>
  <si>
    <t>Emergency</t>
  </si>
  <si>
    <t>In-patient Services</t>
  </si>
  <si>
    <t>In-patient limit</t>
  </si>
  <si>
    <t>NGN 350,000</t>
  </si>
  <si>
    <t>NGN 750,000</t>
  </si>
  <si>
    <t>NGN 2,000,000</t>
  </si>
  <si>
    <t>In-Patient services (including feeding)</t>
  </si>
  <si>
    <t xml:space="preserve">General Ward </t>
  </si>
  <si>
    <t>Semi Private Ward</t>
  </si>
  <si>
    <t>Private Ward</t>
  </si>
  <si>
    <t>X-Rays, Laboratory &amp; Diagnostic Tests</t>
  </si>
  <si>
    <t>Subject to In-patient limit</t>
  </si>
  <si>
    <t>Physiotherapy Sessions (Up to approved limits)</t>
  </si>
  <si>
    <r>
      <t xml:space="preserve">Intensive Care Services </t>
    </r>
    <r>
      <rPr>
        <sz val="14"/>
        <color rgb="FFFF0000"/>
        <rFont val="Source Sans Pro"/>
        <family val="2"/>
      </rPr>
      <t>(Subject to 12 months moratorium)</t>
    </r>
  </si>
  <si>
    <t>Surgical services</t>
  </si>
  <si>
    <r>
      <t xml:space="preserve">Minor, Intermediate, Major Surgeries And Procedures </t>
    </r>
    <r>
      <rPr>
        <sz val="14"/>
        <color rgb="FFFF0000"/>
        <rFont val="Source Sans Pro"/>
        <family val="2"/>
      </rPr>
      <t>(Subject to Inpatient Limit and 3 months moratorium</t>
    </r>
    <r>
      <rPr>
        <sz val="14"/>
        <color rgb="FF000000"/>
        <rFont val="Source Sans Pro"/>
        <family val="2"/>
      </rPr>
      <t>)</t>
    </r>
  </si>
  <si>
    <t>Up to a limit of N250,000.00</t>
  </si>
  <si>
    <t xml:space="preserve">Up to a limit of N300,000.00 </t>
  </si>
  <si>
    <t>Up to a limit of N400,000.00   </t>
  </si>
  <si>
    <t>Up to a limit of N1,000,000.00</t>
  </si>
  <si>
    <r>
      <t xml:space="preserve">Antenatal Care, Delivery(Vaginal, Caeserean Section, Assisted delivery &amp; Postnatal care </t>
    </r>
    <r>
      <rPr>
        <sz val="14"/>
        <color rgb="FFFF0000"/>
        <rFont val="Source Sans Pro"/>
        <family val="2"/>
      </rPr>
      <t>(12 months Moratorium applies)</t>
    </r>
  </si>
  <si>
    <t>NGN 800,000</t>
  </si>
  <si>
    <t>NGN 850,000</t>
  </si>
  <si>
    <t>Dental</t>
  </si>
  <si>
    <t xml:space="preserve">Primary Dental Care </t>
  </si>
  <si>
    <t>Covered up to N10,000.00</t>
  </si>
  <si>
    <t>Covered up to N20,000.00</t>
  </si>
  <si>
    <t>Covered up to N40,000.00</t>
  </si>
  <si>
    <t>Covered  up to N50,000</t>
  </si>
  <si>
    <r>
      <t>Secondary Dental Care</t>
    </r>
    <r>
      <rPr>
        <sz val="14"/>
        <color rgb="FFFF0000"/>
        <rFont val="Source Sans Pro"/>
        <family val="2"/>
      </rPr>
      <t xml:space="preserve"> </t>
    </r>
  </si>
  <si>
    <t>Optical</t>
  </si>
  <si>
    <r>
      <t xml:space="preserve">Eye testing&amp; Eye Care (Biennial Optical Lenses) </t>
    </r>
    <r>
      <rPr>
        <sz val="14"/>
        <color rgb="FFFF0000"/>
        <rFont val="Source Sans Pro"/>
        <family val="2"/>
      </rPr>
      <t>Subject to 3 months moratorium</t>
    </r>
  </si>
  <si>
    <t xml:space="preserve">Up to N7,500 </t>
  </si>
  <si>
    <t xml:space="preserve">Up to N10,000 </t>
  </si>
  <si>
    <t>Up to N15,000</t>
  </si>
  <si>
    <t>Up to N25,000</t>
  </si>
  <si>
    <t>Otolaryngological (Ear, nose and throat)</t>
  </si>
  <si>
    <t>Treatment of ENT diseases and removal of foreign bodies</t>
  </si>
  <si>
    <t>ENT Surgeries</t>
  </si>
  <si>
    <t>As part of surgical limit</t>
  </si>
  <si>
    <t>Other benefits</t>
  </si>
  <si>
    <t>Accidents &amp; Emergencies</t>
  </si>
  <si>
    <t>Evacuation (Home/Hospital to Hospital &amp; Road Side to Hospital)</t>
  </si>
  <si>
    <t>Covered  </t>
  </si>
  <si>
    <t>Routine Immunization (NPI) for 0 - 5yrs   DPT, Hepatitis B, HiB (Pentavalent), BCG, Measles, Oral Polio,Vitamin A supplementation</t>
  </si>
  <si>
    <t>Additional Immunization for under 5 - Varicella, Rotarix, Pneumococcal,  Meningococcal, Yellow fever, Hepatitis B, HIB,MMR &amp;Typherix) at Designated centre</t>
  </si>
  <si>
    <t>MMR &amp; Yellow Fever</t>
  </si>
  <si>
    <t>Family Planning Services (Subject to Outpatient limit)</t>
  </si>
  <si>
    <t>Pills, Injectables &amp; Copper IUCDs</t>
  </si>
  <si>
    <t>Pills, Injectables, Copper IUCDs, tubal ligation (during CS) and Vasectomy</t>
  </si>
  <si>
    <r>
      <t xml:space="preserve">Fertility services (Investigation only)- Subject to Outpatient limit and </t>
    </r>
    <r>
      <rPr>
        <sz val="14"/>
        <color rgb="FFFF0000"/>
        <rFont val="Source Sans Pro"/>
        <family val="2"/>
      </rPr>
      <t>12 months moratorium</t>
    </r>
  </si>
  <si>
    <t>Counseling, SFA, USS, HSG (covered up to N 25,000)</t>
  </si>
  <si>
    <t>Counseling, USS, SFA, HSG, Hormonal Assay  (Covered up to 50,000)</t>
  </si>
  <si>
    <t>Counseling, USS, SFA, HSG, Hormonal Assay, Hysteroscopy  (up to 100,000)</t>
  </si>
  <si>
    <t xml:space="preserve">Health Screening at Designated centres- Subject to Outpatient limit </t>
  </si>
  <si>
    <t>Age 22+/All Gender: (Physical, BP, HIV, PCV) once every year; Age 40+/All Gender: Blood sugar, and Urinalysis) once every year</t>
  </si>
  <si>
    <t>Age 22+/All Gender: (Physical, BP, HIV, Cholesterol, Blood sugar, PCV, Urinalysis, aLFT, E/u/Cr and ECG) once every year; Age 30+ Females: Pap smear and physical breast examination, every 3 years. Age 40+ Males: PSA every 3 years. Age 40+ Females: Mammogram every 3 years</t>
  </si>
  <si>
    <t>HIV/AIDS- to the extent of Diagnosis + Treatment at free specialist centers</t>
  </si>
  <si>
    <r>
      <t xml:space="preserve">Outpatient Psychiatry cover up to 8 weeks </t>
    </r>
    <r>
      <rPr>
        <sz val="14"/>
        <color rgb="FFFF0000"/>
        <rFont val="Source Sans Pro"/>
        <family val="2"/>
      </rPr>
      <t>(Subject to 12 months moratorium)</t>
    </r>
  </si>
  <si>
    <t>Leadway Enrollee APP</t>
  </si>
  <si>
    <t>Premium/Individual/Year New Price</t>
  </si>
  <si>
    <t>One year Moratorium on ANC, Delivery and Post natal care</t>
  </si>
  <si>
    <t>One year Moratorium on pre-existing / Chronic conditions</t>
  </si>
  <si>
    <t>GENERAL EXCLUSIONS ON THE RETAIL PLAN</t>
  </si>
  <si>
    <r>
      <t>·</t>
    </r>
    <r>
      <rPr>
        <sz val="14"/>
        <color indexed="8"/>
        <rFont val="Source Sans Pro"/>
        <family val="2"/>
      </rPr>
      <t>        Cosmetic Surgery or treatment</t>
    </r>
  </si>
  <si>
    <r>
      <t>·</t>
    </r>
    <r>
      <rPr>
        <sz val="14"/>
        <color indexed="8"/>
        <rFont val="Source Sans Pro"/>
        <family val="2"/>
      </rPr>
      <t>        Teeth Whitening</t>
    </r>
  </si>
  <si>
    <r>
      <t>·</t>
    </r>
    <r>
      <rPr>
        <sz val="14"/>
        <color indexed="8"/>
        <rFont val="Source Sans Pro"/>
        <family val="2"/>
      </rPr>
      <t>        Dental Prosthesis</t>
    </r>
  </si>
  <si>
    <r>
      <t>·</t>
    </r>
    <r>
      <rPr>
        <sz val="14"/>
        <color indexed="8"/>
        <rFont val="Source Sans Pro"/>
        <family val="2"/>
      </rPr>
      <t>        Domiciliary/Hospice Care</t>
    </r>
  </si>
  <si>
    <r>
      <t>·</t>
    </r>
    <r>
      <rPr>
        <sz val="14"/>
        <color indexed="8"/>
        <rFont val="Source Sans Pro"/>
        <family val="2"/>
      </rPr>
      <t>        Alternative /Unorthodox medicine</t>
    </r>
  </si>
  <si>
    <r>
      <t>·</t>
    </r>
    <r>
      <rPr>
        <sz val="14"/>
        <color indexed="8"/>
        <rFont val="Source Sans Pro"/>
        <family val="2"/>
      </rPr>
      <t>        Neonatal care not listed under neonatal services</t>
    </r>
  </si>
  <si>
    <r>
      <t>·</t>
    </r>
    <r>
      <rPr>
        <sz val="14"/>
        <color indexed="8"/>
        <rFont val="Source Sans Pro"/>
        <family val="2"/>
      </rPr>
      <t>        Self-inflicted injuries</t>
    </r>
  </si>
  <si>
    <r>
      <t>·</t>
    </r>
    <r>
      <rPr>
        <sz val="14"/>
        <color indexed="8"/>
        <rFont val="Source Sans Pro"/>
        <family val="2"/>
      </rPr>
      <t>        Congenital abnormalities</t>
    </r>
  </si>
  <si>
    <r>
      <t>·</t>
    </r>
    <r>
      <rPr>
        <sz val="14"/>
        <color indexed="8"/>
        <rFont val="Source Sans Pro"/>
        <family val="2"/>
      </rPr>
      <t>        Conditions caused by an act of war, an epidemic or enrollee participating in a riot</t>
    </r>
  </si>
  <si>
    <r>
      <t>·</t>
    </r>
    <r>
      <rPr>
        <sz val="14"/>
        <color indexed="8"/>
        <rFont val="Source Sans Pro"/>
        <family val="2"/>
      </rPr>
      <t>        Services primarily for weight reduction or treatment of obesity</t>
    </r>
  </si>
  <si>
    <r>
      <t>·</t>
    </r>
    <r>
      <rPr>
        <sz val="14"/>
        <color indexed="8"/>
        <rFont val="Source Sans Pro"/>
        <family val="2"/>
      </rPr>
      <t>        Treatment of substance abuse</t>
    </r>
  </si>
  <si>
    <r>
      <t>·</t>
    </r>
    <r>
      <rPr>
        <sz val="14"/>
        <color indexed="8"/>
        <rFont val="Source Sans Pro"/>
        <family val="2"/>
      </rPr>
      <t>        Infertility- All investigations and treatment.</t>
    </r>
  </si>
  <si>
    <r>
      <t>·</t>
    </r>
    <r>
      <rPr>
        <sz val="14"/>
        <color indexed="8"/>
        <rFont val="Source Sans Pro"/>
        <family val="2"/>
      </rPr>
      <t xml:space="preserve">        Orthodontics. </t>
    </r>
  </si>
  <si>
    <r>
      <t>·</t>
    </r>
    <r>
      <rPr>
        <sz val="14"/>
        <color indexed="8"/>
        <rFont val="Source Sans Pro"/>
        <family val="2"/>
      </rPr>
      <t>        Advanced radiological investigations (e.g. C.T. scan, Myelogram, EEG).</t>
    </r>
  </si>
  <si>
    <r>
      <t>·</t>
    </r>
    <r>
      <rPr>
        <sz val="14"/>
        <color indexed="8"/>
        <rFont val="Source Sans Pro"/>
        <family val="2"/>
      </rPr>
      <t>        Advanced and Complex investigations (e.g. Marrow biopsy, skeletal survey).</t>
    </r>
  </si>
  <si>
    <r>
      <t>·</t>
    </r>
    <r>
      <rPr>
        <sz val="14"/>
        <color indexed="8"/>
        <rFont val="Source Sans Pro"/>
        <family val="2"/>
      </rPr>
      <t>        Prosthetic devices such as cardiac pacemaker, orthopedic implants.</t>
    </r>
  </si>
  <si>
    <r>
      <t>·</t>
    </r>
    <r>
      <rPr>
        <sz val="14"/>
        <color indexed="8"/>
        <rFont val="Source Sans Pro"/>
        <family val="2"/>
      </rPr>
      <t>        Management of Chronic Renal Failure (Dialysis and Transplant Surgery).</t>
    </r>
  </si>
  <si>
    <r>
      <t>·</t>
    </r>
    <r>
      <rPr>
        <sz val="14"/>
        <color indexed="8"/>
        <rFont val="Source Sans Pro"/>
        <family val="2"/>
      </rPr>
      <t>        Induced Abortion.</t>
    </r>
  </si>
  <si>
    <r>
      <t>·</t>
    </r>
    <r>
      <rPr>
        <sz val="14"/>
        <color indexed="8"/>
        <rFont val="Source Sans Pro"/>
        <family val="2"/>
      </rPr>
      <t>        Laser Treatments.</t>
    </r>
  </si>
  <si>
    <r>
      <t>·</t>
    </r>
    <r>
      <rPr>
        <sz val="14"/>
        <color indexed="8"/>
        <rFont val="Source Sans Pro"/>
        <family val="2"/>
      </rPr>
      <t>        Transplants.</t>
    </r>
  </si>
  <si>
    <r>
      <t>·</t>
    </r>
    <r>
      <rPr>
        <sz val="14"/>
        <color indexed="8"/>
        <rFont val="Source Sans Pro"/>
        <family val="2"/>
      </rPr>
      <t>        Complex major Surgeries (e.g. Heart, Brain and Great blood vessels).</t>
    </r>
  </si>
  <si>
    <r>
      <t>·</t>
    </r>
    <r>
      <rPr>
        <sz val="14"/>
        <color indexed="8"/>
        <rFont val="Source Sans Pro"/>
        <family val="2"/>
      </rPr>
      <t>        Neurological surgeries.</t>
    </r>
  </si>
  <si>
    <r>
      <t>·</t>
    </r>
    <r>
      <rPr>
        <sz val="14"/>
        <color indexed="8"/>
        <rFont val="Source Sans Pro"/>
        <family val="2"/>
      </rPr>
      <t>        Management of Cancers</t>
    </r>
  </si>
  <si>
    <r>
      <t>·</t>
    </r>
    <r>
      <rPr>
        <sz val="14"/>
        <color indexed="8"/>
        <rFont val="Source Sans Pro"/>
        <family val="2"/>
      </rPr>
      <t>        Professional Sports and wilful exposure to needless danger</t>
    </r>
  </si>
  <si>
    <r>
      <t>·</t>
    </r>
    <r>
      <rPr>
        <sz val="14"/>
        <color indexed="8"/>
        <rFont val="Source Sans Pro"/>
        <family val="2"/>
      </rPr>
      <t>        Infectious and contagious diseases in an epidemic</t>
    </r>
  </si>
  <si>
    <r>
      <t>·</t>
    </r>
    <r>
      <rPr>
        <sz val="14"/>
        <color indexed="8"/>
        <rFont val="Source Sans Pro"/>
        <family val="2"/>
      </rPr>
      <t>        All procedures, management and investigations  not covered by the plans</t>
    </r>
  </si>
  <si>
    <t>NGN 700,000</t>
  </si>
  <si>
    <t>NGN 2,400,000</t>
  </si>
  <si>
    <t>INDIVIDUAL PREMIUM  new price (10-19)</t>
  </si>
  <si>
    <t>FAMILY PREMIUM new price (10-19)</t>
  </si>
  <si>
    <t>INDIVIDUAL PREMIUM  new price (20-29)</t>
  </si>
  <si>
    <t>FAMILY PREMIUM new price (20-29)</t>
  </si>
  <si>
    <t>Category A+ B+C+D</t>
  </si>
  <si>
    <t>Covered up to $5,000 per person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</si>
</sst>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4" formatCode="_-&quot;₦&quot;* #,##0.00_-;\-&quot;₦&quot;* #,##0.00_-;_-&quot;₦&quot;* &quot;-&quot;??_-;_-@_-"/>
    <numFmt numFmtId="43" formatCode="_-* #,##0.00_-;\-* #,##0.00_-;_-* &quot;-&quot;??_-;_-@_-"/>
    <numFmt numFmtId="164" formatCode="_([$NGN]\ * #,##0.00_);_([$NGN]\ * \(#,##0.00\);_([$NGN]\ * &quot;-&quot;??_);_(@_)"/>
    <numFmt numFmtId="165" formatCode="_-[$NGN]\ * #,##0.00_-;\-[$NGN]\ * #,##0.00_-;_-[$NGN]\ * &quot;-&quot;??_-;_-@_-"/>
    <numFmt numFmtId="166" formatCode="_-[$$-409]* #,##0.00_ ;_-[$$-409]* \-#,##0.00\ ;_-[$$-409]* &quot;-&quot;??_ ;_-@_ "/>
  </numFmts>
  <fonts count="27" x14ac:knownFonts="1">
    <font>
      <sz val="11"/>
      <color theme="1"/>
      <name val="Calibri"/>
      <family val="2"/>
      <scheme val="minor"/>
    </font>
    <font>
      <sz val="11"/>
      <color theme="1"/>
      <name val="Calibri"/>
      <family val="2"/>
      <scheme val="minor"/>
    </font>
    <font>
      <b/>
      <sz val="14"/>
      <color rgb="FFFFFFFF"/>
      <name val="Source Sans Pro"/>
      <family val="2"/>
    </font>
    <font>
      <b/>
      <sz val="14"/>
      <color theme="0"/>
      <name val="Source Sans Pro"/>
      <family val="2"/>
    </font>
    <font>
      <sz val="14"/>
      <color theme="1"/>
      <name val="Source Sans Pro"/>
      <family val="2"/>
    </font>
    <font>
      <sz val="14"/>
      <color rgb="FF262626"/>
      <name val="Source Sans Pro"/>
      <family val="2"/>
    </font>
    <font>
      <sz val="14"/>
      <color rgb="FF000000"/>
      <name val="Source Sans Pro"/>
      <family val="2"/>
    </font>
    <font>
      <b/>
      <sz val="14"/>
      <color rgb="FF000000"/>
      <name val="Source Sans Pro"/>
      <family val="2"/>
    </font>
    <font>
      <sz val="14"/>
      <color rgb="FF231F20"/>
      <name val="Source Sans Pro"/>
      <family val="2"/>
    </font>
    <font>
      <b/>
      <sz val="14"/>
      <color rgb="FF262626"/>
      <name val="Source Sans Pro"/>
      <family val="2"/>
    </font>
    <font>
      <b/>
      <sz val="12"/>
      <name val="Source Sans Pro"/>
      <family val="2"/>
    </font>
    <font>
      <sz val="12"/>
      <name val="Source Sans Pro"/>
      <family val="2"/>
    </font>
    <font>
      <b/>
      <sz val="12"/>
      <color theme="1"/>
      <name val="Source Sans Pro"/>
      <family val="2"/>
    </font>
    <font>
      <sz val="12"/>
      <color theme="1"/>
      <name val="Source Sans Pro"/>
      <family val="2"/>
    </font>
    <font>
      <sz val="12"/>
      <color rgb="FF000000"/>
      <name val="Source Sans Pro"/>
      <family val="2"/>
    </font>
    <font>
      <sz val="11"/>
      <color theme="1"/>
      <name val="Source Sans Pro"/>
      <family val="2"/>
    </font>
    <font>
      <b/>
      <sz val="14"/>
      <color theme="1"/>
      <name val="Source Sans Pro"/>
      <family val="2"/>
    </font>
    <font>
      <b/>
      <sz val="11"/>
      <color theme="1"/>
      <name val="Source Sans Pro"/>
      <family val="2"/>
    </font>
    <font>
      <b/>
      <sz val="16"/>
      <color theme="1"/>
      <name val="Source Sans Pro"/>
      <family val="2"/>
    </font>
    <font>
      <sz val="16"/>
      <color theme="1"/>
      <name val="Source Sans Pro"/>
      <family val="2"/>
    </font>
    <font>
      <b/>
      <sz val="12"/>
      <color theme="0"/>
      <name val="Source Sans Pro"/>
      <family val="2"/>
    </font>
    <font>
      <sz val="14"/>
      <color rgb="FFFF0000"/>
      <name val="Source Sans Pro"/>
      <family val="2"/>
    </font>
    <font>
      <b/>
      <sz val="14"/>
      <color rgb="FF767171"/>
      <name val="Source Sans Pro"/>
      <family val="2"/>
    </font>
    <font>
      <b/>
      <i/>
      <sz val="14"/>
      <color rgb="FF000000"/>
      <name val="Source Sans Pro"/>
      <family val="2"/>
    </font>
    <font>
      <b/>
      <sz val="14"/>
      <name val="Source Sans Pro"/>
      <family val="2"/>
    </font>
    <font>
      <sz val="14"/>
      <name val="Source Sans Pro"/>
      <family val="2"/>
    </font>
    <font>
      <sz val="14"/>
      <color indexed="8"/>
      <name val="Source Sans Pro"/>
      <family val="2"/>
    </font>
  </fonts>
  <fills count="35">
    <fill>
      <patternFill patternType="none"/>
    </fill>
    <fill>
      <patternFill patternType="gray125"/>
    </fill>
    <fill>
      <patternFill patternType="solid">
        <fgColor rgb="FF262626"/>
        <bgColor indexed="64"/>
      </patternFill>
    </fill>
    <fill>
      <patternFill patternType="solid">
        <fgColor rgb="FF27AAE1"/>
        <bgColor indexed="64"/>
      </patternFill>
    </fill>
    <fill>
      <patternFill patternType="solid">
        <fgColor rgb="FFFAA61A"/>
        <bgColor indexed="64"/>
      </patternFill>
    </fill>
    <fill>
      <patternFill patternType="solid">
        <fgColor rgb="FF272362"/>
        <bgColor indexed="64"/>
      </patternFill>
    </fill>
    <fill>
      <patternFill patternType="solid">
        <fgColor rgb="FFF15A26"/>
        <bgColor indexed="64"/>
      </patternFill>
    </fill>
    <fill>
      <patternFill patternType="solid">
        <fgColor rgb="FF0070C0"/>
        <bgColor indexed="64"/>
      </patternFill>
    </fill>
    <fill>
      <patternFill patternType="solid">
        <fgColor rgb="FFF3C92D"/>
        <bgColor indexed="64"/>
      </patternFill>
    </fill>
    <fill>
      <patternFill patternType="solid">
        <fgColor rgb="FFC42026"/>
        <bgColor indexed="64"/>
      </patternFill>
    </fill>
    <fill>
      <patternFill patternType="solid">
        <fgColor theme="6" tint="0.79998168889431442"/>
        <bgColor indexed="64"/>
      </patternFill>
    </fill>
    <fill>
      <patternFill patternType="solid">
        <fgColor rgb="FFEBEAEA"/>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bgColor indexed="64"/>
      </patternFill>
    </fill>
    <fill>
      <patternFill patternType="solid">
        <fgColor theme="2"/>
        <bgColor indexed="64"/>
      </patternFill>
    </fill>
    <fill>
      <patternFill patternType="solid">
        <fgColor theme="6" tint="0.59999389629810485"/>
        <bgColor indexed="64"/>
      </patternFill>
    </fill>
    <fill>
      <patternFill patternType="solid">
        <fgColor theme="1" tint="0.499984740745262"/>
        <bgColor indexed="64"/>
      </patternFill>
    </fill>
    <fill>
      <patternFill patternType="solid">
        <fgColor theme="6" tint="-0.249977111117893"/>
        <bgColor indexed="64"/>
      </patternFill>
    </fill>
    <fill>
      <patternFill patternType="solid">
        <fgColor theme="3"/>
        <bgColor indexed="64"/>
      </patternFill>
    </fill>
    <fill>
      <patternFill patternType="solid">
        <fgColor rgb="FF00B050"/>
        <bgColor indexed="64"/>
      </patternFill>
    </fill>
    <fill>
      <patternFill patternType="solid">
        <fgColor rgb="FF7030A0"/>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249977111117893"/>
        <bgColor indexed="64"/>
      </patternFill>
    </fill>
    <fill>
      <patternFill patternType="solid">
        <fgColor rgb="FFFFFF00"/>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rgb="FFFF33CC"/>
        <bgColor indexed="64"/>
      </patternFill>
    </fill>
    <fill>
      <patternFill patternType="solid">
        <fgColor rgb="FFCC0066"/>
        <bgColor indexed="64"/>
      </patternFill>
    </fill>
    <fill>
      <patternFill patternType="solid">
        <fgColor rgb="FFFFFFFF"/>
        <bgColor indexed="64"/>
      </patternFill>
    </fill>
    <fill>
      <patternFill patternType="solid">
        <fgColor rgb="FFFFC0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double">
        <color rgb="FFD0CECE"/>
      </right>
      <top/>
      <bottom style="double">
        <color rgb="FFD0CECE"/>
      </bottom>
      <diagonal/>
    </border>
    <border>
      <left/>
      <right style="double">
        <color rgb="FFBFBFBF"/>
      </right>
      <top/>
      <bottom style="double">
        <color rgb="FFD0CECE"/>
      </bottom>
      <diagonal/>
    </border>
    <border>
      <left/>
      <right style="double">
        <color rgb="FFD0CECE"/>
      </right>
      <top/>
      <bottom/>
      <diagonal/>
    </border>
    <border>
      <left style="double">
        <color rgb="FFD0CECE"/>
      </left>
      <right style="double">
        <color rgb="FFBFBFBF"/>
      </right>
      <top style="double">
        <color rgb="FFD0CECE"/>
      </top>
      <bottom/>
      <diagonal/>
    </border>
    <border>
      <left style="double">
        <color rgb="FFBFBFBF"/>
      </left>
      <right style="double">
        <color rgb="FFBFBFBF"/>
      </right>
      <top style="double">
        <color rgb="FFD0CECE"/>
      </top>
      <bottom/>
      <diagonal/>
    </border>
    <border>
      <left style="double">
        <color rgb="FFD0CECE"/>
      </left>
      <right style="double">
        <color rgb="FFBFBFBF"/>
      </right>
      <top/>
      <bottom style="double">
        <color rgb="FFD0CECE"/>
      </bottom>
      <diagonal/>
    </border>
    <border>
      <left style="double">
        <color rgb="FFBFBFBF"/>
      </left>
      <right style="double">
        <color rgb="FFBFBFBF"/>
      </right>
      <top/>
      <bottom style="double">
        <color rgb="FFD0CECE"/>
      </bottom>
      <diagonal/>
    </border>
    <border>
      <left/>
      <right style="double">
        <color rgb="FFD0CECE"/>
      </right>
      <top style="double">
        <color rgb="FFD0CECE"/>
      </top>
      <bottom/>
      <diagonal/>
    </border>
    <border>
      <left/>
      <right style="double">
        <color rgb="FFBFBFBF"/>
      </right>
      <top/>
      <bottom/>
      <diagonal/>
    </border>
    <border>
      <left style="medium">
        <color indexed="64"/>
      </left>
      <right style="medium">
        <color rgb="FF000000"/>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style="medium">
        <color rgb="FF000000"/>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2">
    <xf numFmtId="0" fontId="0" fillId="0" borderId="0" xfId="0"/>
    <xf numFmtId="0" fontId="2" fillId="2"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4" fillId="0" borderId="0" xfId="0" applyFont="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10" borderId="1" xfId="0" applyFont="1" applyFill="1" applyBorder="1" applyAlignment="1">
      <alignment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1" borderId="1" xfId="0" applyFont="1" applyFill="1" applyBorder="1" applyAlignment="1">
      <alignment vertical="center" wrapText="1"/>
    </xf>
    <xf numFmtId="0" fontId="2" fillId="12" borderId="1" xfId="0" applyFont="1" applyFill="1" applyBorder="1" applyAlignment="1">
      <alignment vertical="center" wrapText="1"/>
    </xf>
    <xf numFmtId="3" fontId="5" fillId="10" borderId="1" xfId="0" applyNumberFormat="1" applyFont="1" applyFill="1" applyBorder="1" applyAlignment="1">
      <alignment horizontal="center" vertical="center" wrapText="1"/>
    </xf>
    <xf numFmtId="0" fontId="8"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3" fontId="5" fillId="14" borderId="1" xfId="0" applyNumberFormat="1" applyFont="1" applyFill="1" applyBorder="1" applyAlignment="1">
      <alignment horizontal="center" vertical="center" wrapText="1"/>
    </xf>
    <xf numFmtId="0" fontId="5" fillId="14" borderId="1" xfId="0" applyFont="1" applyFill="1" applyBorder="1" applyAlignment="1">
      <alignment horizontal="center" vertical="center" wrapText="1"/>
    </xf>
    <xf numFmtId="0" fontId="5" fillId="11" borderId="5" xfId="0" applyFont="1" applyFill="1" applyBorder="1" applyAlignment="1">
      <alignment vertical="center" wrapText="1"/>
    </xf>
    <xf numFmtId="0" fontId="8" fillId="10" borderId="1" xfId="0" applyFont="1" applyFill="1" applyBorder="1" applyAlignment="1">
      <alignment vertical="center" wrapText="1"/>
    </xf>
    <xf numFmtId="0" fontId="2" fillId="12" borderId="1" xfId="0" applyFont="1" applyFill="1" applyBorder="1" applyAlignment="1">
      <alignment horizontal="left" vertical="center" wrapText="1"/>
    </xf>
    <xf numFmtId="3" fontId="5" fillId="11"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9" fillId="11" borderId="1" xfId="0" applyFont="1" applyFill="1" applyBorder="1" applyAlignment="1">
      <alignment vertical="center" wrapText="1"/>
    </xf>
    <xf numFmtId="0" fontId="3" fillId="17" borderId="1" xfId="0" applyFont="1" applyFill="1" applyBorder="1" applyAlignment="1">
      <alignment vertical="center" wrapText="1"/>
    </xf>
    <xf numFmtId="164" fontId="3" fillId="18" borderId="1" xfId="1" applyNumberFormat="1" applyFont="1" applyFill="1" applyBorder="1" applyAlignment="1">
      <alignment horizontal="center" vertical="center" wrapText="1"/>
    </xf>
    <xf numFmtId="0" fontId="4" fillId="0" borderId="0" xfId="0" applyFont="1" applyAlignment="1">
      <alignment wrapText="1"/>
    </xf>
    <xf numFmtId="3" fontId="4" fillId="0" borderId="0" xfId="0" applyNumberFormat="1" applyFont="1" applyAlignment="1">
      <alignment horizontal="center" wrapText="1"/>
    </xf>
    <xf numFmtId="0" fontId="4" fillId="0" borderId="0" xfId="0" applyFont="1" applyAlignment="1">
      <alignment horizontal="center" wrapText="1"/>
    </xf>
    <xf numFmtId="9" fontId="4" fillId="0" borderId="0" xfId="3" applyFont="1" applyAlignment="1">
      <alignment horizontal="center" wrapText="1"/>
    </xf>
    <xf numFmtId="165" fontId="3" fillId="18" borderId="1" xfId="1" applyNumberFormat="1" applyFont="1" applyFill="1" applyBorder="1" applyAlignment="1">
      <alignment horizontal="center" vertical="center" wrapText="1"/>
    </xf>
    <xf numFmtId="166" fontId="3" fillId="18" borderId="1" xfId="1" applyNumberFormat="1" applyFont="1" applyFill="1" applyBorder="1" applyAlignment="1">
      <alignment horizontal="center" vertical="center" wrapText="1"/>
    </xf>
    <xf numFmtId="0" fontId="10" fillId="0" borderId="8" xfId="0" applyFont="1" applyBorder="1" applyAlignment="1">
      <alignment vertical="center" wrapText="1"/>
    </xf>
    <xf numFmtId="0" fontId="10" fillId="14" borderId="8" xfId="0" applyFont="1" applyFill="1" applyBorder="1" applyAlignment="1">
      <alignment vertical="center" wrapText="1"/>
    </xf>
    <xf numFmtId="0" fontId="10" fillId="14" borderId="1" xfId="0" applyFont="1" applyFill="1" applyBorder="1" applyAlignment="1">
      <alignment horizontal="center" wrapText="1"/>
    </xf>
    <xf numFmtId="0" fontId="10" fillId="14" borderId="1" xfId="0" applyFont="1" applyFill="1" applyBorder="1" applyAlignment="1">
      <alignment horizontal="center" vertical="center" wrapText="1"/>
    </xf>
    <xf numFmtId="0" fontId="10" fillId="24" borderId="9" xfId="0" applyFont="1" applyFill="1" applyBorder="1" applyAlignment="1">
      <alignment horizontal="center" wrapText="1"/>
    </xf>
    <xf numFmtId="0" fontId="10" fillId="14" borderId="9" xfId="0" applyFont="1" applyFill="1" applyBorder="1" applyAlignment="1">
      <alignment horizontal="center" vertical="center" wrapText="1"/>
    </xf>
    <xf numFmtId="0" fontId="11" fillId="0" borderId="8" xfId="0" applyFont="1" applyBorder="1" applyAlignment="1">
      <alignment vertical="center" wrapText="1"/>
    </xf>
    <xf numFmtId="0" fontId="11" fillId="14"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8" xfId="0" applyFont="1" applyBorder="1" applyAlignment="1">
      <alignment horizontal="justify" vertical="center" wrapText="1"/>
    </xf>
    <xf numFmtId="0" fontId="11" fillId="0" borderId="1" xfId="0" applyFont="1" applyBorder="1" applyAlignment="1">
      <alignment vertical="center" wrapText="1"/>
    </xf>
    <xf numFmtId="0" fontId="11" fillId="0" borderId="4" xfId="0" applyFont="1" applyBorder="1" applyAlignment="1">
      <alignment horizontal="center" vertical="center" wrapText="1"/>
    </xf>
    <xf numFmtId="0" fontId="11" fillId="14" borderId="1" xfId="0" applyFont="1" applyFill="1" applyBorder="1" applyAlignment="1">
      <alignment vertical="center" wrapText="1"/>
    </xf>
    <xf numFmtId="0" fontId="11" fillId="14" borderId="8" xfId="0" applyFont="1" applyFill="1" applyBorder="1" applyAlignment="1">
      <alignment vertical="center" wrapText="1"/>
    </xf>
    <xf numFmtId="0" fontId="11" fillId="14" borderId="5" xfId="0" applyFont="1" applyFill="1" applyBorder="1" applyAlignment="1">
      <alignment horizontal="center" vertical="center" wrapText="1"/>
    </xf>
    <xf numFmtId="0" fontId="13" fillId="0" borderId="8" xfId="0" applyFont="1" applyBorder="1" applyAlignment="1">
      <alignment vertical="center" wrapText="1"/>
    </xf>
    <xf numFmtId="0" fontId="14" fillId="33" borderId="8" xfId="0" applyFont="1" applyFill="1" applyBorder="1" applyAlignment="1">
      <alignment vertical="center" wrapText="1"/>
    </xf>
    <xf numFmtId="0" fontId="15" fillId="0" borderId="8" xfId="0" applyFont="1" applyBorder="1" applyAlignment="1">
      <alignment wrapText="1"/>
    </xf>
    <xf numFmtId="43" fontId="16" fillId="23" borderId="1" xfId="1" applyFont="1" applyFill="1" applyBorder="1" applyAlignment="1">
      <alignment horizontal="center" readingOrder="1"/>
    </xf>
    <xf numFmtId="0" fontId="17" fillId="0" borderId="0" xfId="0" applyFont="1" applyAlignment="1">
      <alignment wrapText="1"/>
    </xf>
    <xf numFmtId="0" fontId="15" fillId="0" borderId="0" xfId="0" applyFont="1" applyAlignment="1">
      <alignment wrapText="1"/>
    </xf>
    <xf numFmtId="43" fontId="12" fillId="14" borderId="0" xfId="1" applyFont="1" applyFill="1" applyBorder="1" applyAlignment="1">
      <alignment horizontal="center" readingOrder="1"/>
    </xf>
    <xf numFmtId="43" fontId="15" fillId="14" borderId="0" xfId="1" applyFont="1" applyFill="1" applyBorder="1" applyAlignment="1">
      <alignment horizontal="center" readingOrder="1"/>
    </xf>
    <xf numFmtId="0" fontId="18" fillId="0" borderId="2" xfId="0" applyFont="1" applyBorder="1" applyAlignment="1">
      <alignment wrapText="1"/>
    </xf>
    <xf numFmtId="0" fontId="19" fillId="0" borderId="2" xfId="0" applyFont="1" applyBorder="1" applyAlignment="1">
      <alignment wrapText="1"/>
    </xf>
    <xf numFmtId="0" fontId="10" fillId="19" borderId="1" xfId="0" applyFont="1" applyFill="1" applyBorder="1" applyAlignment="1">
      <alignment horizontal="center"/>
    </xf>
    <xf numFmtId="0" fontId="10" fillId="20" borderId="1" xfId="0" applyFont="1" applyFill="1" applyBorder="1" applyAlignment="1">
      <alignment horizontal="center" vertical="center"/>
    </xf>
    <xf numFmtId="0" fontId="10" fillId="21" borderId="1" xfId="0" applyFont="1" applyFill="1" applyBorder="1" applyAlignment="1">
      <alignment horizontal="center" vertical="center"/>
    </xf>
    <xf numFmtId="0" fontId="10" fillId="22" borderId="1" xfId="0" applyFont="1" applyFill="1" applyBorder="1" applyAlignment="1">
      <alignment horizontal="center" vertical="center"/>
    </xf>
    <xf numFmtId="0" fontId="10" fillId="23" borderId="1" xfId="0" applyFont="1" applyFill="1" applyBorder="1" applyAlignment="1">
      <alignment horizontal="center" vertical="center"/>
    </xf>
    <xf numFmtId="0" fontId="0" fillId="0" borderId="0" xfId="0" applyAlignment="1"/>
    <xf numFmtId="0" fontId="10" fillId="14" borderId="1" xfId="0" applyFont="1" applyFill="1" applyBorder="1" applyAlignment="1">
      <alignment horizontal="center"/>
    </xf>
    <xf numFmtId="0" fontId="10" fillId="14" borderId="1" xfId="0" applyFont="1" applyFill="1" applyBorder="1" applyAlignment="1">
      <alignment horizontal="center" vertical="center"/>
    </xf>
    <xf numFmtId="0" fontId="10" fillId="24" borderId="9" xfId="0" applyFont="1" applyFill="1" applyBorder="1" applyAlignment="1">
      <alignment horizontal="center"/>
    </xf>
    <xf numFmtId="0" fontId="10" fillId="14" borderId="9" xfId="0" applyFont="1" applyFill="1" applyBorder="1" applyAlignment="1">
      <alignment horizontal="center" vertical="center"/>
    </xf>
    <xf numFmtId="0" fontId="11" fillId="14" borderId="1" xfId="0" applyFont="1" applyFill="1" applyBorder="1" applyAlignment="1">
      <alignment horizontal="center" vertical="center"/>
    </xf>
    <xf numFmtId="0" fontId="11" fillId="0" borderId="1" xfId="0" applyFont="1" applyBorder="1" applyAlignment="1">
      <alignment horizontal="center" vertical="center"/>
    </xf>
    <xf numFmtId="0" fontId="10" fillId="0" borderId="9" xfId="0" applyFont="1" applyBorder="1" applyAlignment="1">
      <alignment horizontal="center" vertical="center"/>
    </xf>
    <xf numFmtId="0" fontId="10" fillId="0" borderId="1" xfId="0" applyFont="1" applyBorder="1" applyAlignment="1">
      <alignment horizontal="center" vertical="center"/>
    </xf>
    <xf numFmtId="3" fontId="11" fillId="14" borderId="1" xfId="0" applyNumberFormat="1" applyFont="1" applyFill="1" applyBorder="1" applyAlignment="1">
      <alignment horizontal="center" vertical="center"/>
    </xf>
    <xf numFmtId="3" fontId="10" fillId="14" borderId="9" xfId="0" applyNumberFormat="1" applyFont="1" applyFill="1" applyBorder="1" applyAlignment="1">
      <alignment horizontal="center" vertical="center"/>
    </xf>
    <xf numFmtId="0" fontId="11" fillId="14" borderId="5" xfId="0" applyFont="1" applyFill="1" applyBorder="1" applyAlignment="1">
      <alignment vertical="center"/>
    </xf>
    <xf numFmtId="0" fontId="10" fillId="14" borderId="5" xfId="0" applyFont="1" applyFill="1" applyBorder="1" applyAlignment="1">
      <alignment vertical="center"/>
    </xf>
    <xf numFmtId="0" fontId="11" fillId="14" borderId="6" xfId="0" applyFont="1" applyFill="1" applyBorder="1" applyAlignment="1">
      <alignment vertical="center"/>
    </xf>
    <xf numFmtId="0" fontId="10" fillId="14" borderId="6" xfId="0" applyFont="1" applyFill="1" applyBorder="1" applyAlignment="1">
      <alignment vertical="center"/>
    </xf>
    <xf numFmtId="3" fontId="11" fillId="0" borderId="1" xfId="0" applyNumberFormat="1" applyFont="1" applyBorder="1" applyAlignment="1">
      <alignment horizontal="center" vertical="center"/>
    </xf>
    <xf numFmtId="3" fontId="10" fillId="0" borderId="9" xfId="0" applyNumberFormat="1" applyFont="1" applyBorder="1" applyAlignment="1">
      <alignment horizontal="center" vertical="center"/>
    </xf>
    <xf numFmtId="0" fontId="11" fillId="0" borderId="4" xfId="0" applyFont="1" applyBorder="1" applyAlignment="1">
      <alignment horizontal="center" vertical="center"/>
    </xf>
    <xf numFmtId="3" fontId="13" fillId="14" borderId="1" xfId="0" applyNumberFormat="1" applyFont="1" applyFill="1" applyBorder="1" applyAlignment="1">
      <alignment horizontal="center" vertical="center"/>
    </xf>
    <xf numFmtId="0" fontId="11" fillId="14" borderId="5" xfId="0" applyFont="1" applyFill="1" applyBorder="1" applyAlignment="1">
      <alignment horizontal="center" vertical="center"/>
    </xf>
    <xf numFmtId="0" fontId="13" fillId="0" borderId="1" xfId="0" applyFont="1" applyBorder="1" applyAlignment="1">
      <alignment horizontal="center"/>
    </xf>
    <xf numFmtId="0" fontId="15" fillId="0" borderId="1" xfId="0" applyFont="1" applyBorder="1" applyAlignment="1">
      <alignment horizontal="center"/>
    </xf>
    <xf numFmtId="0" fontId="15" fillId="0" borderId="9" xfId="0" applyFont="1" applyBorder="1" applyAlignment="1">
      <alignment horizontal="center"/>
    </xf>
    <xf numFmtId="0" fontId="15" fillId="0" borderId="0" xfId="0" applyFont="1" applyAlignment="1">
      <alignment horizontal="center"/>
    </xf>
    <xf numFmtId="43" fontId="15" fillId="0" borderId="0" xfId="1" applyFont="1" applyAlignment="1">
      <alignment horizontal="center"/>
    </xf>
    <xf numFmtId="0" fontId="15" fillId="0" borderId="0" xfId="0" applyFont="1" applyAlignment="1"/>
    <xf numFmtId="43" fontId="15" fillId="0" borderId="0" xfId="1" applyFont="1" applyBorder="1" applyAlignment="1">
      <alignment horizontal="center"/>
    </xf>
    <xf numFmtId="43" fontId="16" fillId="14" borderId="0" xfId="0" applyNumberFormat="1" applyFont="1" applyFill="1" applyAlignment="1">
      <alignment horizontal="center"/>
    </xf>
    <xf numFmtId="43" fontId="15" fillId="14" borderId="0" xfId="1" applyFont="1" applyFill="1" applyBorder="1" applyAlignment="1">
      <alignment horizontal="center"/>
    </xf>
    <xf numFmtId="0" fontId="15" fillId="14" borderId="0" xfId="0" applyFont="1" applyFill="1" applyAlignment="1"/>
    <xf numFmtId="0" fontId="15" fillId="0" borderId="0" xfId="0" applyFont="1" applyAlignment="1">
      <alignment horizontal="left"/>
    </xf>
    <xf numFmtId="0" fontId="18" fillId="0" borderId="0" xfId="0" applyFont="1" applyAlignment="1"/>
    <xf numFmtId="43" fontId="12" fillId="23" borderId="1" xfId="1" applyFont="1" applyFill="1" applyBorder="1" applyAlignment="1">
      <alignment wrapText="1"/>
    </xf>
    <xf numFmtId="0" fontId="0" fillId="0" borderId="0" xfId="0" applyAlignment="1">
      <alignment wrapText="1"/>
    </xf>
    <xf numFmtId="0" fontId="4" fillId="14" borderId="1" xfId="0" applyFont="1" applyFill="1" applyBorder="1" applyAlignment="1">
      <alignment horizontal="center" wrapText="1"/>
    </xf>
    <xf numFmtId="0" fontId="16" fillId="14" borderId="1" xfId="0" applyFont="1" applyFill="1" applyBorder="1" applyAlignment="1">
      <alignment horizontal="center"/>
    </xf>
    <xf numFmtId="0" fontId="4" fillId="14" borderId="0" xfId="0" applyFont="1" applyFill="1" applyAlignment="1">
      <alignment horizontal="center"/>
    </xf>
    <xf numFmtId="0" fontId="6" fillId="14" borderId="1" xfId="0" applyFont="1" applyFill="1" applyBorder="1" applyAlignment="1">
      <alignment vertical="center" wrapText="1"/>
    </xf>
    <xf numFmtId="0" fontId="7" fillId="14" borderId="1" xfId="0" applyFont="1" applyFill="1" applyBorder="1" applyAlignment="1">
      <alignment horizontal="center" vertical="center"/>
    </xf>
    <xf numFmtId="0" fontId="7" fillId="14" borderId="1" xfId="0" applyFont="1" applyFill="1" applyBorder="1" applyAlignment="1">
      <alignment horizontal="center" vertical="center" wrapText="1"/>
    </xf>
    <xf numFmtId="0" fontId="4" fillId="14" borderId="0" xfId="0" applyFont="1" applyFill="1"/>
    <xf numFmtId="0" fontId="6" fillId="14" borderId="0" xfId="0" applyFont="1" applyFill="1" applyAlignment="1">
      <alignment vertical="center" wrapText="1"/>
    </xf>
    <xf numFmtId="43" fontId="16" fillId="23" borderId="1" xfId="1" applyFont="1" applyFill="1" applyBorder="1"/>
    <xf numFmtId="4" fontId="4" fillId="14" borderId="0" xfId="0" applyNumberFormat="1" applyFont="1" applyFill="1"/>
    <xf numFmtId="0" fontId="6" fillId="14" borderId="17" xfId="0" applyFont="1" applyFill="1" applyBorder="1" applyAlignment="1">
      <alignment vertical="center" wrapText="1"/>
    </xf>
    <xf numFmtId="0" fontId="6" fillId="14" borderId="18" xfId="0" applyFont="1" applyFill="1" applyBorder="1" applyAlignment="1">
      <alignment horizontal="center" vertical="center"/>
    </xf>
    <xf numFmtId="0" fontId="6" fillId="14" borderId="18" xfId="0" applyFont="1" applyFill="1" applyBorder="1" applyAlignment="1">
      <alignment horizontal="center" vertical="center" wrapText="1"/>
    </xf>
    <xf numFmtId="3" fontId="4" fillId="14" borderId="0" xfId="0" applyNumberFormat="1" applyFont="1" applyFill="1"/>
    <xf numFmtId="6" fontId="21" fillId="14" borderId="18" xfId="0" applyNumberFormat="1" applyFont="1" applyFill="1" applyBorder="1" applyAlignment="1">
      <alignment vertical="center"/>
    </xf>
    <xf numFmtId="6" fontId="21" fillId="14" borderId="18" xfId="0" applyNumberFormat="1" applyFont="1" applyFill="1" applyBorder="1" applyAlignment="1">
      <alignment vertical="center" wrapText="1"/>
    </xf>
    <xf numFmtId="0" fontId="22" fillId="14" borderId="17" xfId="0" applyFont="1" applyFill="1" applyBorder="1" applyAlignment="1">
      <alignment vertical="center" wrapText="1"/>
    </xf>
    <xf numFmtId="0" fontId="6" fillId="14" borderId="18" xfId="0" applyFont="1" applyFill="1" applyBorder="1" applyAlignment="1">
      <alignment vertical="center"/>
    </xf>
    <xf numFmtId="0" fontId="6" fillId="14" borderId="18" xfId="0" applyFont="1" applyFill="1" applyBorder="1" applyAlignment="1">
      <alignment vertical="center" wrapText="1"/>
    </xf>
    <xf numFmtId="0" fontId="7" fillId="14" borderId="17" xfId="0" applyFont="1" applyFill="1" applyBorder="1" applyAlignment="1">
      <alignment vertical="center" wrapText="1"/>
    </xf>
    <xf numFmtId="0" fontId="7" fillId="14" borderId="19" xfId="0" applyFont="1" applyFill="1" applyBorder="1" applyAlignment="1">
      <alignment vertical="center" wrapText="1"/>
    </xf>
    <xf numFmtId="0" fontId="6" fillId="14" borderId="20" xfId="0" applyFont="1" applyFill="1" applyBorder="1" applyAlignment="1">
      <alignment vertical="center"/>
    </xf>
    <xf numFmtId="0" fontId="6" fillId="14" borderId="21" xfId="0" applyFont="1" applyFill="1" applyBorder="1" applyAlignment="1">
      <alignment vertical="center" wrapText="1"/>
    </xf>
    <xf numFmtId="0" fontId="6" fillId="14" borderId="19" xfId="0" applyFont="1" applyFill="1" applyBorder="1" applyAlignment="1">
      <alignment vertical="center" wrapText="1"/>
    </xf>
    <xf numFmtId="0" fontId="6" fillId="14" borderId="1" xfId="0" applyFont="1" applyFill="1" applyBorder="1" applyAlignment="1">
      <alignment vertical="center"/>
    </xf>
    <xf numFmtId="3" fontId="6" fillId="14" borderId="18" xfId="0" applyNumberFormat="1" applyFont="1" applyFill="1" applyBorder="1" applyAlignment="1">
      <alignment vertical="center"/>
    </xf>
    <xf numFmtId="3" fontId="6" fillId="14" borderId="18" xfId="0" applyNumberFormat="1" applyFont="1" applyFill="1" applyBorder="1" applyAlignment="1">
      <alignment vertical="center" wrapText="1"/>
    </xf>
    <xf numFmtId="3" fontId="6" fillId="14" borderId="0" xfId="0" applyNumberFormat="1" applyFont="1" applyFill="1" applyAlignment="1">
      <alignment vertical="center" wrapText="1"/>
    </xf>
    <xf numFmtId="0" fontId="16" fillId="14" borderId="17" xfId="0" applyFont="1" applyFill="1" applyBorder="1" applyAlignment="1">
      <alignment vertical="center" wrapText="1"/>
    </xf>
    <xf numFmtId="0" fontId="4" fillId="14" borderId="18" xfId="0" applyFont="1" applyFill="1" applyBorder="1" applyAlignment="1">
      <alignment vertical="center"/>
    </xf>
    <xf numFmtId="3" fontId="4" fillId="14" borderId="18" xfId="0" applyNumberFormat="1" applyFont="1" applyFill="1" applyBorder="1" applyAlignment="1">
      <alignment vertical="center" wrapText="1"/>
    </xf>
    <xf numFmtId="0" fontId="6" fillId="14" borderId="25" xfId="0" applyFont="1" applyFill="1" applyBorder="1" applyAlignment="1">
      <alignment vertical="center"/>
    </xf>
    <xf numFmtId="0" fontId="6" fillId="14" borderId="25" xfId="0" applyFont="1" applyFill="1" applyBorder="1" applyAlignment="1">
      <alignment vertical="center" wrapText="1"/>
    </xf>
    <xf numFmtId="6" fontId="6" fillId="14" borderId="18" xfId="0" applyNumberFormat="1" applyFont="1" applyFill="1" applyBorder="1" applyAlignment="1">
      <alignment vertical="center"/>
    </xf>
    <xf numFmtId="6" fontId="6" fillId="14" borderId="18" xfId="0" applyNumberFormat="1" applyFont="1" applyFill="1" applyBorder="1" applyAlignment="1">
      <alignment vertical="center" wrapText="1"/>
    </xf>
    <xf numFmtId="0" fontId="4" fillId="14" borderId="0" xfId="0" applyFont="1" applyFill="1" applyAlignment="1">
      <alignment wrapText="1"/>
    </xf>
    <xf numFmtId="0" fontId="24" fillId="34" borderId="26" xfId="0" applyFont="1" applyFill="1" applyBorder="1" applyAlignment="1">
      <alignment horizontal="center" vertical="center" wrapText="1" readingOrder="1"/>
    </xf>
    <xf numFmtId="0" fontId="7" fillId="14" borderId="16" xfId="0" applyFont="1" applyFill="1" applyBorder="1" applyAlignment="1">
      <alignment horizontal="center" wrapText="1"/>
    </xf>
    <xf numFmtId="0" fontId="6" fillId="14" borderId="27" xfId="0" applyFont="1" applyFill="1" applyBorder="1" applyAlignment="1">
      <alignment horizontal="center" wrapText="1"/>
    </xf>
    <xf numFmtId="0" fontId="6" fillId="14" borderId="16" xfId="0" applyFont="1" applyFill="1" applyBorder="1" applyAlignment="1">
      <alignment horizontal="center" wrapText="1"/>
    </xf>
    <xf numFmtId="0" fontId="6" fillId="0" borderId="0" xfId="0" applyFont="1" applyAlignment="1">
      <alignment horizontal="left" vertical="top"/>
    </xf>
    <xf numFmtId="3" fontId="6" fillId="14" borderId="16" xfId="0" applyNumberFormat="1" applyFont="1" applyFill="1" applyBorder="1" applyAlignment="1">
      <alignment horizontal="center" wrapText="1"/>
    </xf>
    <xf numFmtId="0" fontId="25" fillId="0" borderId="13" xfId="0" applyFont="1" applyBorder="1" applyAlignment="1">
      <alignment horizontal="center" vertical="center" wrapText="1" readingOrder="1"/>
    </xf>
    <xf numFmtId="0" fontId="4" fillId="33" borderId="26" xfId="0" applyFont="1" applyFill="1" applyBorder="1" applyAlignment="1">
      <alignment horizontal="center" vertical="center" wrapText="1" readingOrder="1"/>
    </xf>
    <xf numFmtId="0" fontId="4" fillId="33" borderId="31" xfId="0" applyFont="1" applyFill="1" applyBorder="1" applyAlignment="1">
      <alignment horizontal="center" vertical="center" wrapText="1"/>
    </xf>
    <xf numFmtId="0" fontId="6" fillId="14" borderId="13" xfId="0" applyFont="1" applyFill="1" applyBorder="1" applyAlignment="1">
      <alignment horizontal="center" wrapText="1"/>
    </xf>
    <xf numFmtId="0" fontId="6" fillId="14" borderId="32" xfId="0" applyFont="1" applyFill="1" applyBorder="1" applyAlignment="1">
      <alignment horizontal="center" wrapText="1"/>
    </xf>
    <xf numFmtId="0" fontId="24" fillId="23" borderId="33" xfId="0" applyFont="1" applyFill="1" applyBorder="1" applyAlignment="1">
      <alignment horizontal="center" vertical="center" wrapText="1" readingOrder="1"/>
    </xf>
    <xf numFmtId="44" fontId="24" fillId="23" borderId="33" xfId="2" applyFont="1" applyFill="1" applyBorder="1" applyAlignment="1">
      <alignment horizontal="center" vertical="center" wrapText="1" readingOrder="1"/>
    </xf>
    <xf numFmtId="43" fontId="4" fillId="0" borderId="0" xfId="0" applyNumberFormat="1" applyFont="1" applyAlignment="1">
      <alignment wrapText="1"/>
    </xf>
    <xf numFmtId="0" fontId="4" fillId="0" borderId="0" xfId="0" applyFont="1" applyAlignment="1">
      <alignment vertical="center" wrapText="1"/>
    </xf>
    <xf numFmtId="0" fontId="16" fillId="0" borderId="0" xfId="0" applyFont="1" applyAlignment="1">
      <alignment horizontal="justify" vertical="center" wrapText="1"/>
    </xf>
    <xf numFmtId="0" fontId="4" fillId="0" borderId="0" xfId="0" applyFont="1" applyAlignment="1">
      <alignment horizontal="justify" vertical="center" wrapText="1"/>
    </xf>
    <xf numFmtId="0" fontId="4" fillId="0" borderId="0" xfId="0" applyFont="1" applyAlignment="1">
      <alignment vertical="center"/>
    </xf>
    <xf numFmtId="43" fontId="15" fillId="0" borderId="0" xfId="0" applyNumberFormat="1" applyFont="1" applyAlignment="1">
      <alignment horizontal="center"/>
    </xf>
    <xf numFmtId="0" fontId="2" fillId="12" borderId="1"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6" fillId="16" borderId="7" xfId="0" applyFont="1" applyFill="1" applyBorder="1" applyAlignment="1">
      <alignment horizontal="center" vertical="center" wrapText="1" readingOrder="1"/>
    </xf>
    <xf numFmtId="0" fontId="6" fillId="16" borderId="6" xfId="0" applyFont="1" applyFill="1" applyBorder="1" applyAlignment="1">
      <alignment horizontal="center" vertical="center" wrapText="1" readingOrder="1"/>
    </xf>
    <xf numFmtId="0" fontId="5" fillId="11" borderId="5"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5" fillId="11" borderId="1" xfId="0" applyFont="1" applyFill="1" applyBorder="1" applyAlignment="1">
      <alignment vertical="center" wrapText="1"/>
    </xf>
    <xf numFmtId="0" fontId="5" fillId="11"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2" fillId="12" borderId="2" xfId="0" applyFont="1" applyFill="1" applyBorder="1" applyAlignment="1">
      <alignment horizontal="center" vertical="center"/>
    </xf>
    <xf numFmtId="0" fontId="2" fillId="12" borderId="3" xfId="0" applyFont="1" applyFill="1" applyBorder="1" applyAlignment="1">
      <alignment horizontal="center" vertical="center"/>
    </xf>
    <xf numFmtId="0" fontId="2" fillId="12" borderId="4"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0" fillId="24" borderId="11" xfId="0" applyFont="1" applyFill="1" applyBorder="1" applyAlignment="1">
      <alignment horizontal="center" vertical="center" wrapText="1"/>
    </xf>
    <xf numFmtId="0" fontId="10" fillId="24" borderId="3" xfId="0" applyFont="1" applyFill="1" applyBorder="1" applyAlignment="1">
      <alignment horizontal="center" vertical="center" wrapText="1"/>
    </xf>
    <xf numFmtId="0" fontId="10" fillId="24" borderId="10" xfId="0" applyFont="1" applyFill="1" applyBorder="1" applyAlignment="1">
      <alignment horizontal="center" vertical="center" wrapText="1"/>
    </xf>
    <xf numFmtId="0" fontId="20" fillId="30" borderId="11" xfId="0" applyFont="1" applyFill="1" applyBorder="1" applyAlignment="1">
      <alignment horizontal="center" vertical="center" wrapText="1"/>
    </xf>
    <xf numFmtId="0" fontId="20" fillId="30" borderId="3" xfId="0" applyFont="1" applyFill="1" applyBorder="1" applyAlignment="1">
      <alignment horizontal="center" vertical="center" wrapText="1"/>
    </xf>
    <xf numFmtId="0" fontId="20" fillId="30" borderId="10" xfId="0" applyFont="1" applyFill="1" applyBorder="1" applyAlignment="1">
      <alignment horizontal="center" vertical="center" wrapText="1"/>
    </xf>
    <xf numFmtId="0" fontId="20" fillId="31" borderId="11" xfId="0" applyFont="1" applyFill="1" applyBorder="1" applyAlignment="1">
      <alignment horizontal="center" vertical="center" wrapText="1"/>
    </xf>
    <xf numFmtId="0" fontId="20" fillId="31" borderId="3" xfId="0" applyFont="1" applyFill="1" applyBorder="1" applyAlignment="1">
      <alignment horizontal="center" vertical="center" wrapText="1"/>
    </xf>
    <xf numFmtId="0" fontId="20" fillId="31" borderId="10" xfId="0" applyFont="1" applyFill="1" applyBorder="1" applyAlignment="1">
      <alignment horizontal="center" vertical="center" wrapText="1"/>
    </xf>
    <xf numFmtId="0" fontId="20" fillId="32" borderId="11" xfId="0" applyFont="1" applyFill="1" applyBorder="1" applyAlignment="1">
      <alignment horizontal="center" vertical="center" wrapText="1"/>
    </xf>
    <xf numFmtId="0" fontId="20" fillId="32" borderId="3" xfId="0" applyFont="1" applyFill="1" applyBorder="1" applyAlignment="1">
      <alignment horizontal="center" vertical="center" wrapText="1"/>
    </xf>
    <xf numFmtId="0" fontId="20" fillId="32" borderId="4" xfId="0" applyFont="1" applyFill="1" applyBorder="1" applyAlignment="1">
      <alignment horizontal="center" vertical="center" wrapText="1"/>
    </xf>
    <xf numFmtId="0" fontId="10" fillId="25" borderId="11" xfId="0" applyFont="1" applyFill="1" applyBorder="1" applyAlignment="1">
      <alignment horizontal="center" vertical="center" wrapText="1"/>
    </xf>
    <xf numFmtId="0" fontId="10" fillId="25" borderId="3" xfId="0" applyFont="1" applyFill="1" applyBorder="1" applyAlignment="1">
      <alignment horizontal="center" vertical="center" wrapText="1"/>
    </xf>
    <xf numFmtId="0" fontId="10" fillId="25" borderId="10" xfId="0" applyFont="1" applyFill="1" applyBorder="1" applyAlignment="1">
      <alignment horizontal="center" vertical="center" wrapText="1"/>
    </xf>
    <xf numFmtId="0" fontId="10" fillId="23" borderId="11" xfId="0" applyFont="1" applyFill="1" applyBorder="1" applyAlignment="1">
      <alignment horizontal="center" vertical="center" wrapText="1"/>
    </xf>
    <xf numFmtId="0" fontId="10" fillId="23" borderId="3" xfId="0" applyFont="1" applyFill="1" applyBorder="1" applyAlignment="1">
      <alignment horizontal="center" vertical="center" wrapText="1"/>
    </xf>
    <xf numFmtId="0" fontId="10" fillId="23" borderId="4" xfId="0" applyFont="1" applyFill="1" applyBorder="1" applyAlignment="1">
      <alignment horizontal="center" vertical="center" wrapText="1"/>
    </xf>
    <xf numFmtId="0" fontId="20" fillId="21" borderId="11" xfId="0" applyFont="1" applyFill="1" applyBorder="1" applyAlignment="1">
      <alignment horizontal="center" vertical="center" wrapText="1"/>
    </xf>
    <xf numFmtId="0" fontId="20" fillId="21" borderId="3" xfId="0" applyFont="1" applyFill="1" applyBorder="1" applyAlignment="1">
      <alignment horizontal="center" vertical="center" wrapText="1"/>
    </xf>
    <xf numFmtId="0" fontId="20" fillId="21" borderId="14" xfId="0" applyFont="1" applyFill="1" applyBorder="1" applyAlignment="1">
      <alignment horizontal="center" vertical="center" wrapText="1"/>
    </xf>
    <xf numFmtId="0" fontId="20" fillId="20" borderId="11" xfId="0" applyFont="1" applyFill="1" applyBorder="1" applyAlignment="1">
      <alignment horizontal="center" vertical="center" wrapText="1"/>
    </xf>
    <xf numFmtId="0" fontId="20" fillId="20" borderId="3" xfId="0" applyFont="1" applyFill="1" applyBorder="1" applyAlignment="1">
      <alignment horizontal="center" vertical="center" wrapText="1"/>
    </xf>
    <xf numFmtId="0" fontId="20" fillId="20" borderId="4" xfId="0" applyFont="1" applyFill="1" applyBorder="1" applyAlignment="1">
      <alignment horizontal="center" vertical="center" wrapText="1"/>
    </xf>
    <xf numFmtId="3" fontId="11" fillId="14" borderId="5" xfId="0" applyNumberFormat="1" applyFont="1" applyFill="1" applyBorder="1" applyAlignment="1">
      <alignment horizontal="center" vertical="center"/>
    </xf>
    <xf numFmtId="0" fontId="11" fillId="14" borderId="6" xfId="0" applyFont="1" applyFill="1" applyBorder="1" applyAlignment="1">
      <alignment horizontal="center" vertical="center"/>
    </xf>
    <xf numFmtId="0" fontId="10" fillId="14" borderId="15" xfId="0" applyFont="1" applyFill="1" applyBorder="1" applyAlignment="1">
      <alignment horizontal="center" vertical="center"/>
    </xf>
    <xf numFmtId="0" fontId="10" fillId="14" borderId="16" xfId="0" applyFont="1" applyFill="1" applyBorder="1" applyAlignment="1">
      <alignment horizontal="center" vertical="center"/>
    </xf>
    <xf numFmtId="0" fontId="12" fillId="26" borderId="11" xfId="0" applyFont="1" applyFill="1" applyBorder="1" applyAlignment="1">
      <alignment horizontal="center" vertical="center"/>
    </xf>
    <xf numFmtId="0" fontId="12" fillId="26" borderId="3" xfId="0" applyFont="1" applyFill="1" applyBorder="1" applyAlignment="1">
      <alignment horizontal="center" vertical="center"/>
    </xf>
    <xf numFmtId="0" fontId="12" fillId="26" borderId="12" xfId="0" applyFont="1" applyFill="1" applyBorder="1" applyAlignment="1">
      <alignment horizontal="center" vertical="center"/>
    </xf>
    <xf numFmtId="0" fontId="10" fillId="27" borderId="11" xfId="0" applyFont="1" applyFill="1" applyBorder="1" applyAlignment="1">
      <alignment horizontal="center" vertical="center"/>
    </xf>
    <xf numFmtId="0" fontId="10" fillId="27" borderId="3" xfId="0" applyFont="1" applyFill="1" applyBorder="1" applyAlignment="1">
      <alignment horizontal="center" vertical="center"/>
    </xf>
    <xf numFmtId="0" fontId="10" fillId="27" borderId="10" xfId="0" applyFont="1" applyFill="1" applyBorder="1" applyAlignment="1">
      <alignment horizontal="center" vertical="center"/>
    </xf>
    <xf numFmtId="0" fontId="20" fillId="28" borderId="11" xfId="0" applyFont="1" applyFill="1" applyBorder="1" applyAlignment="1">
      <alignment horizontal="center" vertical="center" wrapText="1"/>
    </xf>
    <xf numFmtId="0" fontId="20" fillId="28" borderId="3" xfId="0" applyFont="1" applyFill="1" applyBorder="1" applyAlignment="1">
      <alignment horizontal="center" vertical="center" wrapText="1"/>
    </xf>
    <xf numFmtId="0" fontId="20" fillId="28" borderId="10" xfId="0" applyFont="1" applyFill="1" applyBorder="1" applyAlignment="1">
      <alignment horizontal="center" vertical="center" wrapText="1"/>
    </xf>
    <xf numFmtId="0" fontId="10" fillId="13" borderId="11" xfId="0" applyFont="1" applyFill="1" applyBorder="1" applyAlignment="1">
      <alignment horizontal="center" vertical="center" wrapText="1"/>
    </xf>
    <xf numFmtId="0" fontId="10" fillId="13" borderId="3" xfId="0" applyFont="1" applyFill="1" applyBorder="1" applyAlignment="1">
      <alignment horizontal="center" vertical="center" wrapText="1"/>
    </xf>
    <xf numFmtId="0" fontId="10" fillId="13" borderId="10" xfId="0" applyFont="1" applyFill="1" applyBorder="1" applyAlignment="1">
      <alignment horizontal="center" vertical="center" wrapText="1"/>
    </xf>
    <xf numFmtId="0" fontId="11" fillId="14" borderId="1" xfId="0" applyFont="1" applyFill="1" applyBorder="1" applyAlignment="1">
      <alignment horizontal="center" vertical="center"/>
    </xf>
    <xf numFmtId="0" fontId="11" fillId="14" borderId="2" xfId="0" applyFont="1" applyFill="1" applyBorder="1" applyAlignment="1">
      <alignment horizontal="center" vertical="center"/>
    </xf>
    <xf numFmtId="0" fontId="20" fillId="29" borderId="11" xfId="0" applyFont="1" applyFill="1" applyBorder="1" applyAlignment="1">
      <alignment horizontal="center" vertical="center" wrapText="1"/>
    </xf>
    <xf numFmtId="0" fontId="20" fillId="29" borderId="3" xfId="0" applyFont="1" applyFill="1" applyBorder="1" applyAlignment="1">
      <alignment horizontal="center" vertical="center" wrapText="1"/>
    </xf>
    <xf numFmtId="0" fontId="20" fillId="29" borderId="10" xfId="0" applyFont="1" applyFill="1" applyBorder="1" applyAlignment="1">
      <alignment horizontal="center" vertical="center" wrapText="1"/>
    </xf>
    <xf numFmtId="0" fontId="7" fillId="14" borderId="24" xfId="0" applyFont="1" applyFill="1" applyBorder="1" applyAlignment="1">
      <alignment vertical="center" wrapText="1"/>
    </xf>
    <xf numFmtId="0" fontId="7" fillId="14" borderId="17" xfId="0" applyFont="1" applyFill="1" applyBorder="1" applyAlignment="1">
      <alignment vertical="center" wrapText="1"/>
    </xf>
    <xf numFmtId="0" fontId="6" fillId="14" borderId="21" xfId="0" applyFont="1" applyFill="1" applyBorder="1" applyAlignment="1">
      <alignment vertical="center" wrapText="1"/>
    </xf>
    <xf numFmtId="0" fontId="6" fillId="14" borderId="23" xfId="0" applyFont="1" applyFill="1" applyBorder="1" applyAlignment="1">
      <alignment vertical="center" wrapText="1"/>
    </xf>
    <xf numFmtId="0" fontId="7" fillId="14" borderId="24" xfId="0" applyFont="1" applyFill="1" applyBorder="1" applyAlignment="1">
      <alignment horizontal="center" vertical="center" wrapText="1"/>
    </xf>
    <xf numFmtId="0" fontId="7" fillId="14" borderId="17" xfId="0" applyFont="1" applyFill="1" applyBorder="1" applyAlignment="1">
      <alignment horizontal="center" vertical="center" wrapText="1"/>
    </xf>
    <xf numFmtId="0" fontId="6" fillId="14" borderId="20" xfId="0" applyFont="1" applyFill="1" applyBorder="1" applyAlignment="1">
      <alignment vertical="center"/>
    </xf>
    <xf numFmtId="0" fontId="6" fillId="14" borderId="22" xfId="0" applyFont="1" applyFill="1" applyBorder="1" applyAlignment="1">
      <alignment vertical="center"/>
    </xf>
    <xf numFmtId="0" fontId="6" fillId="14" borderId="20" xfId="0" applyFont="1" applyFill="1" applyBorder="1" applyAlignment="1">
      <alignment horizontal="center" vertical="center"/>
    </xf>
    <xf numFmtId="0" fontId="6" fillId="14" borderId="22" xfId="0" applyFont="1" applyFill="1" applyBorder="1" applyAlignment="1">
      <alignment horizontal="center" vertical="center"/>
    </xf>
    <xf numFmtId="0" fontId="24" fillId="34" borderId="28" xfId="0" applyFont="1" applyFill="1" applyBorder="1" applyAlignment="1">
      <alignment horizontal="center" vertical="center" wrapText="1" readingOrder="1"/>
    </xf>
    <xf numFmtId="0" fontId="24" fillId="34" borderId="29" xfId="0" applyFont="1" applyFill="1" applyBorder="1" applyAlignment="1">
      <alignment horizontal="center" vertical="center" wrapText="1" readingOrder="1"/>
    </xf>
    <xf numFmtId="0" fontId="24" fillId="34" borderId="30" xfId="0" applyFont="1" applyFill="1" applyBorder="1" applyAlignment="1">
      <alignment horizontal="center" vertical="center" wrapText="1" readingOrder="1"/>
    </xf>
    <xf numFmtId="0" fontId="6" fillId="14" borderId="15" xfId="0" applyFont="1" applyFill="1" applyBorder="1" applyAlignment="1">
      <alignment horizontal="center" wrapText="1"/>
    </xf>
    <xf numFmtId="0" fontId="6" fillId="14" borderId="16" xfId="0" applyFont="1" applyFill="1" applyBorder="1" applyAlignment="1">
      <alignment horizontal="center"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C4307-BF15-4176-A449-1707ADB74467}">
  <dimension ref="A1:H105"/>
  <sheetViews>
    <sheetView workbookViewId="0">
      <pane ySplit="1" topLeftCell="A90" activePane="bottomLeft" state="frozen"/>
      <selection pane="bottomLeft" activeCell="B96" sqref="B96:F96"/>
    </sheetView>
  </sheetViews>
  <sheetFormatPr defaultColWidth="9.140625" defaultRowHeight="18.75" x14ac:dyDescent="0.3"/>
  <cols>
    <col min="1" max="1" width="42.28515625" style="30" customWidth="1"/>
    <col min="2" max="2" width="28.85546875" style="32" customWidth="1"/>
    <col min="3" max="3" width="32.7109375" style="32" customWidth="1"/>
    <col min="4" max="4" width="30.85546875" style="32" customWidth="1"/>
    <col min="5" max="5" width="35.42578125" style="32" customWidth="1"/>
    <col min="6" max="7" width="33.28515625" style="32" customWidth="1"/>
    <col min="8" max="8" width="31.7109375" style="32" customWidth="1"/>
    <col min="9" max="16384" width="9.140625" style="9"/>
  </cols>
  <sheetData>
    <row r="1" spans="1:8" x14ac:dyDescent="0.3">
      <c r="A1" s="1" t="s">
        <v>0</v>
      </c>
      <c r="B1" s="2" t="s">
        <v>1</v>
      </c>
      <c r="C1" s="3" t="s">
        <v>2</v>
      </c>
      <c r="D1" s="4" t="s">
        <v>3</v>
      </c>
      <c r="E1" s="5" t="s">
        <v>4</v>
      </c>
      <c r="F1" s="6" t="s">
        <v>5</v>
      </c>
      <c r="G1" s="7" t="s">
        <v>6</v>
      </c>
      <c r="H1" s="8" t="s">
        <v>7</v>
      </c>
    </row>
    <row r="2" spans="1:8" x14ac:dyDescent="0.3">
      <c r="A2" s="10" t="s">
        <v>8</v>
      </c>
      <c r="B2" s="11" t="s">
        <v>9</v>
      </c>
      <c r="C2" s="11" t="s">
        <v>10</v>
      </c>
      <c r="D2" s="11" t="s">
        <v>11</v>
      </c>
      <c r="E2" s="11" t="s">
        <v>12</v>
      </c>
      <c r="F2" s="11" t="s">
        <v>12</v>
      </c>
      <c r="G2" s="11" t="s">
        <v>13</v>
      </c>
      <c r="H2" s="11" t="s">
        <v>14</v>
      </c>
    </row>
    <row r="3" spans="1:8" ht="56.25" x14ac:dyDescent="0.3">
      <c r="A3" s="12" t="s">
        <v>15</v>
      </c>
      <c r="B3" s="13" t="s">
        <v>16</v>
      </c>
      <c r="C3" s="14" t="s">
        <v>16</v>
      </c>
      <c r="D3" s="14" t="s">
        <v>17</v>
      </c>
      <c r="E3" s="14" t="s">
        <v>18</v>
      </c>
      <c r="F3" s="14" t="s">
        <v>18</v>
      </c>
      <c r="G3" s="14" t="s">
        <v>18</v>
      </c>
      <c r="H3" s="14" t="s">
        <v>19</v>
      </c>
    </row>
    <row r="4" spans="1:8" ht="37.5" x14ac:dyDescent="0.3">
      <c r="A4" s="10" t="s">
        <v>20</v>
      </c>
      <c r="B4" s="11" t="s">
        <v>21</v>
      </c>
      <c r="C4" s="11" t="s">
        <v>21</v>
      </c>
      <c r="D4" s="11" t="s">
        <v>21</v>
      </c>
      <c r="E4" s="11" t="s">
        <v>21</v>
      </c>
      <c r="F4" s="11" t="s">
        <v>21</v>
      </c>
      <c r="G4" s="11" t="s">
        <v>21</v>
      </c>
      <c r="H4" s="11" t="s">
        <v>22</v>
      </c>
    </row>
    <row r="5" spans="1:8" ht="37.5" x14ac:dyDescent="0.3">
      <c r="A5" s="15" t="s">
        <v>23</v>
      </c>
      <c r="B5" s="14" t="s">
        <v>21</v>
      </c>
      <c r="C5" s="14" t="s">
        <v>24</v>
      </c>
      <c r="D5" s="14" t="s">
        <v>21</v>
      </c>
      <c r="E5" s="14" t="s">
        <v>21</v>
      </c>
      <c r="F5" s="14" t="s">
        <v>21</v>
      </c>
      <c r="G5" s="14" t="s">
        <v>21</v>
      </c>
      <c r="H5" s="14" t="s">
        <v>596</v>
      </c>
    </row>
    <row r="6" spans="1:8" x14ac:dyDescent="0.3">
      <c r="A6" s="16" t="s">
        <v>25</v>
      </c>
      <c r="B6" s="166" t="s">
        <v>26</v>
      </c>
      <c r="C6" s="167"/>
      <c r="D6" s="167"/>
      <c r="E6" s="167"/>
      <c r="F6" s="167"/>
      <c r="G6" s="167"/>
      <c r="H6" s="168"/>
    </row>
    <row r="7" spans="1:8" ht="37.5" x14ac:dyDescent="0.3">
      <c r="A7" s="15" t="s">
        <v>27</v>
      </c>
      <c r="B7" s="14" t="s">
        <v>28</v>
      </c>
      <c r="C7" s="14" t="s">
        <v>28</v>
      </c>
      <c r="D7" s="14" t="s">
        <v>28</v>
      </c>
      <c r="E7" s="14" t="s">
        <v>28</v>
      </c>
      <c r="F7" s="14" t="s">
        <v>28</v>
      </c>
      <c r="G7" s="14" t="s">
        <v>28</v>
      </c>
      <c r="H7" s="14" t="s">
        <v>28</v>
      </c>
    </row>
    <row r="8" spans="1:8" ht="37.5" x14ac:dyDescent="0.3">
      <c r="A8" s="10" t="s">
        <v>29</v>
      </c>
      <c r="B8" s="11" t="s">
        <v>28</v>
      </c>
      <c r="C8" s="11" t="s">
        <v>28</v>
      </c>
      <c r="D8" s="11" t="s">
        <v>28</v>
      </c>
      <c r="E8" s="11" t="s">
        <v>28</v>
      </c>
      <c r="F8" s="11" t="s">
        <v>28</v>
      </c>
      <c r="G8" s="11" t="s">
        <v>28</v>
      </c>
      <c r="H8" s="11" t="s">
        <v>28</v>
      </c>
    </row>
    <row r="9" spans="1:8" x14ac:dyDescent="0.3">
      <c r="A9" s="15" t="s">
        <v>30</v>
      </c>
      <c r="B9" s="14" t="s">
        <v>28</v>
      </c>
      <c r="C9" s="14" t="s">
        <v>28</v>
      </c>
      <c r="D9" s="14" t="s">
        <v>28</v>
      </c>
      <c r="E9" s="14" t="s">
        <v>28</v>
      </c>
      <c r="F9" s="14" t="s">
        <v>28</v>
      </c>
      <c r="G9" s="14" t="s">
        <v>28</v>
      </c>
      <c r="H9" s="14" t="s">
        <v>28</v>
      </c>
    </row>
    <row r="10" spans="1:8" x14ac:dyDescent="0.3">
      <c r="A10" s="10" t="s">
        <v>31</v>
      </c>
      <c r="B10" s="11" t="s">
        <v>28</v>
      </c>
      <c r="C10" s="11" t="s">
        <v>28</v>
      </c>
      <c r="D10" s="11" t="s">
        <v>28</v>
      </c>
      <c r="E10" s="11" t="s">
        <v>28</v>
      </c>
      <c r="F10" s="11" t="s">
        <v>28</v>
      </c>
      <c r="G10" s="11" t="s">
        <v>28</v>
      </c>
      <c r="H10" s="11" t="s">
        <v>28</v>
      </c>
    </row>
    <row r="11" spans="1:8" ht="37.5" x14ac:dyDescent="0.3">
      <c r="A11" s="15" t="s">
        <v>32</v>
      </c>
      <c r="B11" s="13" t="s">
        <v>34</v>
      </c>
      <c r="C11" s="13" t="s">
        <v>35</v>
      </c>
      <c r="D11" s="13" t="s">
        <v>36</v>
      </c>
      <c r="E11" s="13" t="s">
        <v>36</v>
      </c>
      <c r="F11" s="13" t="s">
        <v>36</v>
      </c>
      <c r="G11" s="13" t="s">
        <v>37</v>
      </c>
      <c r="H11" s="14" t="s">
        <v>37</v>
      </c>
    </row>
    <row r="12" spans="1:8" ht="37.5" x14ac:dyDescent="0.3">
      <c r="A12" s="10" t="s">
        <v>38</v>
      </c>
      <c r="B12" s="13" t="s">
        <v>40</v>
      </c>
      <c r="C12" s="17" t="s">
        <v>40</v>
      </c>
      <c r="D12" s="17" t="s">
        <v>41</v>
      </c>
      <c r="E12" s="17" t="s">
        <v>42</v>
      </c>
      <c r="F12" s="17" t="s">
        <v>43</v>
      </c>
      <c r="G12" s="17" t="s">
        <v>43</v>
      </c>
      <c r="H12" s="11" t="s">
        <v>44</v>
      </c>
    </row>
    <row r="13" spans="1:8" ht="37.5" x14ac:dyDescent="0.3">
      <c r="A13" s="15" t="s">
        <v>45</v>
      </c>
      <c r="B13" s="14" t="s">
        <v>28</v>
      </c>
      <c r="C13" s="14" t="s">
        <v>28</v>
      </c>
      <c r="D13" s="14" t="s">
        <v>28</v>
      </c>
      <c r="E13" s="14" t="s">
        <v>28</v>
      </c>
      <c r="F13" s="14" t="s">
        <v>28</v>
      </c>
      <c r="G13" s="14" t="s">
        <v>28</v>
      </c>
      <c r="H13" s="14" t="s">
        <v>28</v>
      </c>
    </row>
    <row r="14" spans="1:8" ht="37.5" x14ac:dyDescent="0.3">
      <c r="A14" s="16" t="s">
        <v>46</v>
      </c>
      <c r="B14" s="166" t="s">
        <v>47</v>
      </c>
      <c r="C14" s="167"/>
      <c r="D14" s="167"/>
      <c r="E14" s="167"/>
      <c r="F14" s="167"/>
      <c r="G14" s="167"/>
      <c r="H14" s="168"/>
    </row>
    <row r="15" spans="1:8" x14ac:dyDescent="0.3">
      <c r="A15" s="15" t="s">
        <v>48</v>
      </c>
      <c r="B15" s="14" t="s">
        <v>28</v>
      </c>
      <c r="C15" s="14" t="s">
        <v>28</v>
      </c>
      <c r="D15" s="14" t="s">
        <v>28</v>
      </c>
      <c r="E15" s="14" t="s">
        <v>28</v>
      </c>
      <c r="F15" s="14" t="s">
        <v>28</v>
      </c>
      <c r="G15" s="14" t="s">
        <v>28</v>
      </c>
      <c r="H15" s="14" t="s">
        <v>28</v>
      </c>
    </row>
    <row r="16" spans="1:8" ht="37.5" x14ac:dyDescent="0.3">
      <c r="A16" s="10" t="s">
        <v>49</v>
      </c>
      <c r="B16" s="11" t="s">
        <v>28</v>
      </c>
      <c r="C16" s="11" t="s">
        <v>28</v>
      </c>
      <c r="D16" s="11" t="s">
        <v>28</v>
      </c>
      <c r="E16" s="11" t="s">
        <v>28</v>
      </c>
      <c r="F16" s="11" t="s">
        <v>28</v>
      </c>
      <c r="G16" s="11" t="s">
        <v>28</v>
      </c>
      <c r="H16" s="11" t="s">
        <v>28</v>
      </c>
    </row>
    <row r="17" spans="1:8" x14ac:dyDescent="0.3">
      <c r="A17" s="15" t="s">
        <v>50</v>
      </c>
      <c r="B17" s="14" t="s">
        <v>28</v>
      </c>
      <c r="C17" s="14" t="s">
        <v>28</v>
      </c>
      <c r="D17" s="14" t="s">
        <v>28</v>
      </c>
      <c r="E17" s="14" t="s">
        <v>28</v>
      </c>
      <c r="F17" s="14" t="s">
        <v>28</v>
      </c>
      <c r="G17" s="14" t="s">
        <v>28</v>
      </c>
      <c r="H17" s="14" t="s">
        <v>28</v>
      </c>
    </row>
    <row r="18" spans="1:8" x14ac:dyDescent="0.3">
      <c r="A18" s="10" t="s">
        <v>51</v>
      </c>
      <c r="B18" s="11" t="s">
        <v>28</v>
      </c>
      <c r="C18" s="11" t="s">
        <v>28</v>
      </c>
      <c r="D18" s="11" t="s">
        <v>28</v>
      </c>
      <c r="E18" s="11" t="s">
        <v>28</v>
      </c>
      <c r="F18" s="11" t="s">
        <v>28</v>
      </c>
      <c r="G18" s="11" t="s">
        <v>28</v>
      </c>
      <c r="H18" s="11" t="s">
        <v>28</v>
      </c>
    </row>
    <row r="19" spans="1:8" ht="37.5" x14ac:dyDescent="0.3">
      <c r="A19" s="15" t="s">
        <v>52</v>
      </c>
      <c r="B19" s="14" t="s">
        <v>28</v>
      </c>
      <c r="C19" s="14" t="s">
        <v>28</v>
      </c>
      <c r="D19" s="14" t="s">
        <v>28</v>
      </c>
      <c r="E19" s="14" t="s">
        <v>28</v>
      </c>
      <c r="F19" s="14" t="s">
        <v>28</v>
      </c>
      <c r="G19" s="14" t="s">
        <v>28</v>
      </c>
      <c r="H19" s="14" t="s">
        <v>28</v>
      </c>
    </row>
    <row r="20" spans="1:8" ht="37.5" x14ac:dyDescent="0.3">
      <c r="A20" s="16" t="s">
        <v>53</v>
      </c>
      <c r="B20" s="156" t="s">
        <v>53</v>
      </c>
      <c r="C20" s="157"/>
      <c r="D20" s="157"/>
      <c r="E20" s="157"/>
      <c r="F20" s="157"/>
      <c r="G20" s="157"/>
      <c r="H20" s="158"/>
    </row>
    <row r="21" spans="1:8" ht="37.5" x14ac:dyDescent="0.3">
      <c r="A21" s="15" t="s">
        <v>54</v>
      </c>
      <c r="B21" s="14" t="s">
        <v>28</v>
      </c>
      <c r="C21" s="14" t="s">
        <v>28</v>
      </c>
      <c r="D21" s="14" t="s">
        <v>28</v>
      </c>
      <c r="E21" s="14" t="s">
        <v>28</v>
      </c>
      <c r="F21" s="14" t="s">
        <v>28</v>
      </c>
      <c r="G21" s="14" t="s">
        <v>28</v>
      </c>
      <c r="H21" s="14" t="s">
        <v>28</v>
      </c>
    </row>
    <row r="22" spans="1:8" ht="37.5" x14ac:dyDescent="0.3">
      <c r="A22" s="10" t="s">
        <v>55</v>
      </c>
      <c r="B22" s="11" t="s">
        <v>28</v>
      </c>
      <c r="C22" s="11" t="s">
        <v>28</v>
      </c>
      <c r="D22" s="11" t="s">
        <v>28</v>
      </c>
      <c r="E22" s="11" t="s">
        <v>28</v>
      </c>
      <c r="F22" s="11" t="s">
        <v>28</v>
      </c>
      <c r="G22" s="11" t="s">
        <v>28</v>
      </c>
      <c r="H22" s="11" t="s">
        <v>28</v>
      </c>
    </row>
    <row r="23" spans="1:8" ht="56.25" x14ac:dyDescent="0.3">
      <c r="A23" s="15" t="s">
        <v>56</v>
      </c>
      <c r="B23" s="14" t="s">
        <v>28</v>
      </c>
      <c r="C23" s="14" t="s">
        <v>28</v>
      </c>
      <c r="D23" s="14" t="s">
        <v>28</v>
      </c>
      <c r="E23" s="14" t="s">
        <v>28</v>
      </c>
      <c r="F23" s="14" t="s">
        <v>28</v>
      </c>
      <c r="G23" s="14" t="s">
        <v>28</v>
      </c>
      <c r="H23" s="14" t="s">
        <v>28</v>
      </c>
    </row>
    <row r="24" spans="1:8" ht="56.25" x14ac:dyDescent="0.3">
      <c r="A24" s="10" t="s">
        <v>57</v>
      </c>
      <c r="B24" s="11" t="s">
        <v>28</v>
      </c>
      <c r="C24" s="11" t="s">
        <v>28</v>
      </c>
      <c r="D24" s="11" t="s">
        <v>28</v>
      </c>
      <c r="E24" s="11" t="s">
        <v>28</v>
      </c>
      <c r="F24" s="11" t="s">
        <v>28</v>
      </c>
      <c r="G24" s="11" t="s">
        <v>28</v>
      </c>
      <c r="H24" s="11" t="s">
        <v>28</v>
      </c>
    </row>
    <row r="25" spans="1:8" ht="39" customHeight="1" x14ac:dyDescent="0.3">
      <c r="A25" s="16" t="s">
        <v>58</v>
      </c>
      <c r="B25" s="156" t="s">
        <v>59</v>
      </c>
      <c r="C25" s="157"/>
      <c r="D25" s="157"/>
      <c r="E25" s="157"/>
      <c r="F25" s="157"/>
      <c r="G25" s="157"/>
      <c r="H25" s="158"/>
    </row>
    <row r="26" spans="1:8" ht="37.5" x14ac:dyDescent="0.3">
      <c r="A26" s="15" t="s">
        <v>60</v>
      </c>
      <c r="B26" s="14" t="s">
        <v>61</v>
      </c>
      <c r="C26" s="14" t="s">
        <v>62</v>
      </c>
      <c r="D26" s="14" t="s">
        <v>63</v>
      </c>
      <c r="E26" s="14" t="s">
        <v>63</v>
      </c>
      <c r="F26" s="14" t="s">
        <v>63</v>
      </c>
      <c r="G26" s="14" t="s">
        <v>63</v>
      </c>
      <c r="H26" s="14" t="s">
        <v>63</v>
      </c>
    </row>
    <row r="27" spans="1:8" ht="37.5" x14ac:dyDescent="0.3">
      <c r="A27" s="10" t="s">
        <v>64</v>
      </c>
      <c r="B27" s="11" t="s">
        <v>65</v>
      </c>
      <c r="C27" s="11" t="s">
        <v>65</v>
      </c>
      <c r="D27" s="11" t="s">
        <v>66</v>
      </c>
      <c r="E27" s="11" t="s">
        <v>67</v>
      </c>
      <c r="F27" s="11" t="s">
        <v>67</v>
      </c>
      <c r="G27" s="11" t="s">
        <v>67</v>
      </c>
      <c r="H27" s="11" t="s">
        <v>67</v>
      </c>
    </row>
    <row r="28" spans="1:8" x14ac:dyDescent="0.3">
      <c r="A28" s="15" t="s">
        <v>68</v>
      </c>
      <c r="B28" s="14" t="s">
        <v>28</v>
      </c>
      <c r="C28" s="14" t="s">
        <v>28</v>
      </c>
      <c r="D28" s="14" t="s">
        <v>28</v>
      </c>
      <c r="E28" s="14" t="s">
        <v>28</v>
      </c>
      <c r="F28" s="14" t="s">
        <v>28</v>
      </c>
      <c r="G28" s="14" t="s">
        <v>28</v>
      </c>
      <c r="H28" s="14" t="s">
        <v>28</v>
      </c>
    </row>
    <row r="29" spans="1:8" x14ac:dyDescent="0.3">
      <c r="A29" s="10" t="s">
        <v>69</v>
      </c>
      <c r="B29" s="11" t="s">
        <v>65</v>
      </c>
      <c r="C29" s="11" t="s">
        <v>66</v>
      </c>
      <c r="D29" s="11" t="s">
        <v>70</v>
      </c>
      <c r="E29" s="11" t="s">
        <v>71</v>
      </c>
      <c r="F29" s="11" t="s">
        <v>71</v>
      </c>
      <c r="G29" s="11" t="s">
        <v>71</v>
      </c>
      <c r="H29" s="11" t="s">
        <v>71</v>
      </c>
    </row>
    <row r="30" spans="1:8" ht="37.5" x14ac:dyDescent="0.3">
      <c r="A30" s="15" t="s">
        <v>72</v>
      </c>
      <c r="B30" s="14" t="s">
        <v>28</v>
      </c>
      <c r="C30" s="14" t="s">
        <v>28</v>
      </c>
      <c r="D30" s="14" t="s">
        <v>28</v>
      </c>
      <c r="E30" s="14" t="s">
        <v>28</v>
      </c>
      <c r="F30" s="14" t="s">
        <v>28</v>
      </c>
      <c r="G30" s="14" t="s">
        <v>28</v>
      </c>
      <c r="H30" s="14" t="s">
        <v>28</v>
      </c>
    </row>
    <row r="31" spans="1:8" ht="41.25" customHeight="1" x14ac:dyDescent="0.3">
      <c r="A31" s="16" t="s">
        <v>73</v>
      </c>
      <c r="B31" s="156" t="s">
        <v>74</v>
      </c>
      <c r="C31" s="157"/>
      <c r="D31" s="157"/>
      <c r="E31" s="157"/>
      <c r="F31" s="157"/>
      <c r="G31" s="157"/>
      <c r="H31" s="158"/>
    </row>
    <row r="32" spans="1:8" ht="56.25" x14ac:dyDescent="0.3">
      <c r="A32" s="15" t="s">
        <v>75</v>
      </c>
      <c r="B32" s="14" t="s">
        <v>28</v>
      </c>
      <c r="C32" s="14" t="s">
        <v>28</v>
      </c>
      <c r="D32" s="14" t="s">
        <v>28</v>
      </c>
      <c r="E32" s="14" t="s">
        <v>28</v>
      </c>
      <c r="F32" s="14" t="s">
        <v>28</v>
      </c>
      <c r="G32" s="14" t="s">
        <v>28</v>
      </c>
      <c r="H32" s="14" t="s">
        <v>76</v>
      </c>
    </row>
    <row r="33" spans="1:8" ht="56.25" x14ac:dyDescent="0.3">
      <c r="A33" s="10" t="s">
        <v>77</v>
      </c>
      <c r="B33" s="11" t="s">
        <v>78</v>
      </c>
      <c r="C33" s="18" t="s">
        <v>79</v>
      </c>
      <c r="D33" s="18" t="s">
        <v>80</v>
      </c>
      <c r="E33" s="18" t="s">
        <v>81</v>
      </c>
      <c r="F33" s="18" t="s">
        <v>82</v>
      </c>
      <c r="G33" s="18" t="s">
        <v>82</v>
      </c>
      <c r="H33" s="18" t="s">
        <v>83</v>
      </c>
    </row>
    <row r="34" spans="1:8" x14ac:dyDescent="0.3">
      <c r="A34" s="15" t="s">
        <v>84</v>
      </c>
      <c r="B34" s="14" t="s">
        <v>28</v>
      </c>
      <c r="C34" s="14" t="s">
        <v>28</v>
      </c>
      <c r="D34" s="14" t="s">
        <v>28</v>
      </c>
      <c r="E34" s="14" t="s">
        <v>28</v>
      </c>
      <c r="F34" s="14" t="s">
        <v>28</v>
      </c>
      <c r="G34" s="14" t="s">
        <v>28</v>
      </c>
      <c r="H34" s="14" t="s">
        <v>28</v>
      </c>
    </row>
    <row r="35" spans="1:8" ht="37.5" x14ac:dyDescent="0.3">
      <c r="A35" s="10" t="s">
        <v>85</v>
      </c>
      <c r="B35" s="13" t="s">
        <v>86</v>
      </c>
      <c r="C35" s="13" t="s">
        <v>87</v>
      </c>
      <c r="D35" s="13" t="s">
        <v>88</v>
      </c>
      <c r="E35" s="13" t="s">
        <v>89</v>
      </c>
      <c r="F35" s="13" t="s">
        <v>90</v>
      </c>
      <c r="G35" s="13" t="s">
        <v>91</v>
      </c>
      <c r="H35" s="13" t="s">
        <v>92</v>
      </c>
    </row>
    <row r="36" spans="1:8" ht="56.25" x14ac:dyDescent="0.3">
      <c r="A36" s="15" t="s">
        <v>93</v>
      </c>
      <c r="B36" s="14" t="s">
        <v>33</v>
      </c>
      <c r="C36" s="14" t="s">
        <v>33</v>
      </c>
      <c r="D36" s="14" t="s">
        <v>95</v>
      </c>
      <c r="E36" s="14" t="s">
        <v>96</v>
      </c>
      <c r="F36" s="14" t="s">
        <v>96</v>
      </c>
      <c r="G36" s="14" t="s">
        <v>96</v>
      </c>
      <c r="H36" s="14" t="s">
        <v>97</v>
      </c>
    </row>
    <row r="37" spans="1:8" ht="75" x14ac:dyDescent="0.3">
      <c r="A37" s="10" t="s">
        <v>98</v>
      </c>
      <c r="B37" s="11" t="s">
        <v>99</v>
      </c>
      <c r="C37" s="11" t="s">
        <v>99</v>
      </c>
      <c r="D37" s="11" t="s">
        <v>100</v>
      </c>
      <c r="E37" s="11" t="s">
        <v>100</v>
      </c>
      <c r="F37" s="11" t="s">
        <v>100</v>
      </c>
      <c r="G37" s="11" t="s">
        <v>100</v>
      </c>
      <c r="H37" s="11" t="s">
        <v>100</v>
      </c>
    </row>
    <row r="38" spans="1:8" ht="37.5" x14ac:dyDescent="0.3">
      <c r="A38" s="15" t="s">
        <v>101</v>
      </c>
      <c r="B38" s="14" t="s">
        <v>28</v>
      </c>
      <c r="C38" s="14" t="s">
        <v>28</v>
      </c>
      <c r="D38" s="14" t="s">
        <v>28</v>
      </c>
      <c r="E38" s="14" t="s">
        <v>28</v>
      </c>
      <c r="F38" s="14" t="s">
        <v>28</v>
      </c>
      <c r="G38" s="14" t="s">
        <v>28</v>
      </c>
      <c r="H38" s="14" t="s">
        <v>28</v>
      </c>
    </row>
    <row r="39" spans="1:8" ht="56.25" x14ac:dyDescent="0.3">
      <c r="A39" s="10" t="s">
        <v>102</v>
      </c>
      <c r="B39" s="11" t="s">
        <v>103</v>
      </c>
      <c r="C39" s="11" t="s">
        <v>104</v>
      </c>
      <c r="D39" s="11" t="s">
        <v>105</v>
      </c>
      <c r="E39" s="11" t="s">
        <v>106</v>
      </c>
      <c r="F39" s="11" t="s">
        <v>106</v>
      </c>
      <c r="G39" s="11" t="s">
        <v>106</v>
      </c>
      <c r="H39" s="11" t="s">
        <v>107</v>
      </c>
    </row>
    <row r="40" spans="1:8" x14ac:dyDescent="0.3">
      <c r="A40" s="16" t="s">
        <v>108</v>
      </c>
      <c r="B40" s="156" t="s">
        <v>109</v>
      </c>
      <c r="C40" s="157"/>
      <c r="D40" s="157"/>
      <c r="E40" s="157"/>
      <c r="F40" s="157"/>
      <c r="G40" s="157"/>
      <c r="H40" s="158"/>
    </row>
    <row r="41" spans="1:8" ht="93.75" x14ac:dyDescent="0.3">
      <c r="A41" s="10" t="s">
        <v>110</v>
      </c>
      <c r="B41" s="11" t="s">
        <v>28</v>
      </c>
      <c r="C41" s="11" t="s">
        <v>28</v>
      </c>
      <c r="D41" s="11" t="s">
        <v>28</v>
      </c>
      <c r="E41" s="11" t="s">
        <v>28</v>
      </c>
      <c r="F41" s="11" t="s">
        <v>28</v>
      </c>
      <c r="G41" s="11" t="s">
        <v>28</v>
      </c>
      <c r="H41" s="11" t="s">
        <v>28</v>
      </c>
    </row>
    <row r="42" spans="1:8" ht="75" x14ac:dyDescent="0.3">
      <c r="A42" s="15" t="s">
        <v>111</v>
      </c>
      <c r="B42" s="14" t="s">
        <v>33</v>
      </c>
      <c r="C42" s="14" t="s">
        <v>33</v>
      </c>
      <c r="D42" s="14" t="s">
        <v>28</v>
      </c>
      <c r="E42" s="14" t="s">
        <v>28</v>
      </c>
      <c r="F42" s="14" t="s">
        <v>28</v>
      </c>
      <c r="G42" s="14" t="s">
        <v>28</v>
      </c>
      <c r="H42" s="14" t="s">
        <v>28</v>
      </c>
    </row>
    <row r="43" spans="1:8" ht="56.25" x14ac:dyDescent="0.3">
      <c r="A43" s="10" t="s">
        <v>112</v>
      </c>
      <c r="B43" s="11" t="s">
        <v>113</v>
      </c>
      <c r="C43" s="11" t="s">
        <v>113</v>
      </c>
      <c r="D43" s="11" t="s">
        <v>28</v>
      </c>
      <c r="E43" s="11" t="s">
        <v>28</v>
      </c>
      <c r="F43" s="11" t="s">
        <v>28</v>
      </c>
      <c r="G43" s="11" t="s">
        <v>28</v>
      </c>
      <c r="H43" s="11" t="s">
        <v>28</v>
      </c>
    </row>
    <row r="44" spans="1:8" x14ac:dyDescent="0.3">
      <c r="A44" s="15" t="s">
        <v>114</v>
      </c>
      <c r="B44" s="14" t="s">
        <v>28</v>
      </c>
      <c r="C44" s="14" t="s">
        <v>28</v>
      </c>
      <c r="D44" s="14" t="s">
        <v>28</v>
      </c>
      <c r="E44" s="14" t="s">
        <v>28</v>
      </c>
      <c r="F44" s="14" t="s">
        <v>28</v>
      </c>
      <c r="G44" s="14" t="s">
        <v>28</v>
      </c>
      <c r="H44" s="14" t="s">
        <v>28</v>
      </c>
    </row>
    <row r="45" spans="1:8" ht="34.5" customHeight="1" x14ac:dyDescent="0.3">
      <c r="A45" s="16" t="s">
        <v>115</v>
      </c>
      <c r="B45" s="156" t="s">
        <v>116</v>
      </c>
      <c r="C45" s="157"/>
      <c r="D45" s="157"/>
      <c r="E45" s="157"/>
      <c r="F45" s="157"/>
      <c r="G45" s="157"/>
      <c r="H45" s="158"/>
    </row>
    <row r="46" spans="1:8" ht="37.5" x14ac:dyDescent="0.3">
      <c r="A46" s="15" t="s">
        <v>117</v>
      </c>
      <c r="B46" s="13" t="s">
        <v>118</v>
      </c>
      <c r="C46" s="13" t="s">
        <v>119</v>
      </c>
      <c r="D46" s="13" t="s">
        <v>120</v>
      </c>
      <c r="E46" s="13" t="s">
        <v>121</v>
      </c>
      <c r="F46" s="13" t="s">
        <v>122</v>
      </c>
      <c r="G46" s="13" t="s">
        <v>122</v>
      </c>
      <c r="H46" s="14" t="s">
        <v>123</v>
      </c>
    </row>
    <row r="47" spans="1:8" x14ac:dyDescent="0.3">
      <c r="A47" s="10" t="s">
        <v>124</v>
      </c>
      <c r="B47" s="19">
        <v>100000</v>
      </c>
      <c r="C47" s="19" t="s">
        <v>125</v>
      </c>
      <c r="D47" s="19" t="s">
        <v>126</v>
      </c>
      <c r="E47" s="19" t="s">
        <v>127</v>
      </c>
      <c r="F47" s="19" t="s">
        <v>127</v>
      </c>
      <c r="G47" s="19" t="s">
        <v>127</v>
      </c>
      <c r="H47" s="11" t="s">
        <v>28</v>
      </c>
    </row>
    <row r="48" spans="1:8" ht="41.25" customHeight="1" x14ac:dyDescent="0.3">
      <c r="A48" s="16" t="s">
        <v>128</v>
      </c>
      <c r="B48" s="155" t="s">
        <v>129</v>
      </c>
      <c r="C48" s="155"/>
      <c r="D48" s="155"/>
      <c r="E48" s="155"/>
      <c r="F48" s="155"/>
      <c r="G48" s="155"/>
      <c r="H48" s="155"/>
    </row>
    <row r="49" spans="1:8" ht="37.5" x14ac:dyDescent="0.3">
      <c r="A49" s="10" t="s">
        <v>130</v>
      </c>
      <c r="B49" s="170" t="s">
        <v>131</v>
      </c>
      <c r="C49" s="170" t="s">
        <v>132</v>
      </c>
      <c r="D49" s="11" t="s">
        <v>28</v>
      </c>
      <c r="E49" s="11" t="s">
        <v>28</v>
      </c>
      <c r="F49" s="11" t="s">
        <v>28</v>
      </c>
      <c r="G49" s="11" t="s">
        <v>28</v>
      </c>
      <c r="H49" s="11" t="s">
        <v>28</v>
      </c>
    </row>
    <row r="50" spans="1:8" ht="75" x14ac:dyDescent="0.3">
      <c r="A50" s="15" t="s">
        <v>133</v>
      </c>
      <c r="B50" s="171"/>
      <c r="C50" s="171"/>
      <c r="D50" s="11" t="s">
        <v>28</v>
      </c>
      <c r="E50" s="11" t="s">
        <v>28</v>
      </c>
      <c r="F50" s="11" t="s">
        <v>28</v>
      </c>
      <c r="G50" s="11" t="s">
        <v>28</v>
      </c>
      <c r="H50" s="11" t="s">
        <v>28</v>
      </c>
    </row>
    <row r="51" spans="1:8" ht="56.25" x14ac:dyDescent="0.3">
      <c r="A51" s="12" t="s">
        <v>134</v>
      </c>
      <c r="B51" s="13" t="s">
        <v>135</v>
      </c>
      <c r="C51" s="13" t="s">
        <v>136</v>
      </c>
      <c r="D51" s="17">
        <v>1000000</v>
      </c>
      <c r="E51" s="17">
        <v>1500000</v>
      </c>
      <c r="F51" s="17">
        <v>2000000</v>
      </c>
      <c r="G51" s="17">
        <v>3000000</v>
      </c>
      <c r="H51" s="17" t="s">
        <v>137</v>
      </c>
    </row>
    <row r="52" spans="1:8" x14ac:dyDescent="0.3">
      <c r="A52" s="16" t="s">
        <v>138</v>
      </c>
      <c r="B52" s="166" t="s">
        <v>139</v>
      </c>
      <c r="C52" s="167"/>
      <c r="D52" s="167"/>
      <c r="E52" s="167"/>
      <c r="F52" s="167"/>
      <c r="G52" s="167"/>
      <c r="H52" s="168"/>
    </row>
    <row r="53" spans="1:8" ht="112.5" x14ac:dyDescent="0.3">
      <c r="A53" s="15" t="s">
        <v>140</v>
      </c>
      <c r="B53" s="13" t="s">
        <v>28</v>
      </c>
      <c r="C53" s="14" t="s">
        <v>21</v>
      </c>
      <c r="D53" s="14" t="s">
        <v>21</v>
      </c>
      <c r="E53" s="14" t="s">
        <v>21</v>
      </c>
      <c r="F53" s="14" t="s">
        <v>21</v>
      </c>
      <c r="G53" s="14" t="s">
        <v>21</v>
      </c>
      <c r="H53" s="14" t="s">
        <v>21</v>
      </c>
    </row>
    <row r="54" spans="1:8" ht="112.5" x14ac:dyDescent="0.3">
      <c r="A54" s="10" t="s">
        <v>141</v>
      </c>
      <c r="B54" s="11" t="s">
        <v>33</v>
      </c>
      <c r="C54" s="11" t="s">
        <v>33</v>
      </c>
      <c r="D54" s="11" t="s">
        <v>21</v>
      </c>
      <c r="E54" s="11" t="s">
        <v>21</v>
      </c>
      <c r="F54" s="11" t="s">
        <v>21</v>
      </c>
      <c r="G54" s="11" t="s">
        <v>21</v>
      </c>
      <c r="H54" s="11" t="s">
        <v>21</v>
      </c>
    </row>
    <row r="55" spans="1:8" ht="37.5" x14ac:dyDescent="0.3">
      <c r="A55" s="15" t="s">
        <v>142</v>
      </c>
      <c r="B55" s="13" t="s">
        <v>143</v>
      </c>
      <c r="C55" s="13" t="s">
        <v>144</v>
      </c>
      <c r="D55" s="13" t="s">
        <v>145</v>
      </c>
      <c r="E55" s="13" t="s">
        <v>146</v>
      </c>
      <c r="F55" s="13" t="s">
        <v>147</v>
      </c>
      <c r="G55" s="13" t="s">
        <v>148</v>
      </c>
      <c r="H55" s="13" t="s">
        <v>149</v>
      </c>
    </row>
    <row r="56" spans="1:8" ht="37.5" x14ac:dyDescent="0.3">
      <c r="A56" s="10" t="s">
        <v>150</v>
      </c>
      <c r="B56" s="13" t="s">
        <v>151</v>
      </c>
      <c r="C56" s="13" t="s">
        <v>151</v>
      </c>
      <c r="D56" s="13" t="s">
        <v>152</v>
      </c>
      <c r="E56" s="13" t="s">
        <v>153</v>
      </c>
      <c r="F56" s="13" t="s">
        <v>153</v>
      </c>
      <c r="G56" s="13" t="s">
        <v>154</v>
      </c>
      <c r="H56" s="11" t="s">
        <v>151</v>
      </c>
    </row>
    <row r="57" spans="1:8" x14ac:dyDescent="0.3">
      <c r="A57" s="16" t="s">
        <v>155</v>
      </c>
      <c r="B57" s="166" t="s">
        <v>156</v>
      </c>
      <c r="C57" s="167"/>
      <c r="D57" s="167"/>
      <c r="E57" s="167"/>
      <c r="F57" s="167"/>
      <c r="G57" s="167"/>
      <c r="H57" s="168"/>
    </row>
    <row r="58" spans="1:8" x14ac:dyDescent="0.3">
      <c r="A58" s="10" t="s">
        <v>157</v>
      </c>
      <c r="B58" s="11" t="s">
        <v>28</v>
      </c>
      <c r="C58" s="11" t="s">
        <v>28</v>
      </c>
      <c r="D58" s="11" t="s">
        <v>28</v>
      </c>
      <c r="E58" s="11" t="s">
        <v>28</v>
      </c>
      <c r="F58" s="11" t="s">
        <v>28</v>
      </c>
      <c r="G58" s="11" t="s">
        <v>28</v>
      </c>
      <c r="H58" s="11" t="s">
        <v>28</v>
      </c>
    </row>
    <row r="59" spans="1:8" ht="37.5" x14ac:dyDescent="0.3">
      <c r="A59" s="15" t="s">
        <v>158</v>
      </c>
      <c r="B59" s="14" t="s">
        <v>151</v>
      </c>
      <c r="C59" s="14" t="s">
        <v>151</v>
      </c>
      <c r="D59" s="14" t="s">
        <v>151</v>
      </c>
      <c r="E59" s="14" t="s">
        <v>151</v>
      </c>
      <c r="F59" s="14" t="s">
        <v>151</v>
      </c>
      <c r="G59" s="14" t="s">
        <v>151</v>
      </c>
      <c r="H59" s="14" t="s">
        <v>151</v>
      </c>
    </row>
    <row r="60" spans="1:8" x14ac:dyDescent="0.3">
      <c r="A60" s="16" t="s">
        <v>159</v>
      </c>
      <c r="B60" s="155" t="s">
        <v>160</v>
      </c>
      <c r="C60" s="155"/>
      <c r="D60" s="155"/>
      <c r="E60" s="155"/>
      <c r="F60" s="155"/>
      <c r="G60" s="155"/>
      <c r="H60" s="155"/>
    </row>
    <row r="61" spans="1:8" x14ac:dyDescent="0.3">
      <c r="A61" s="15" t="s">
        <v>161</v>
      </c>
      <c r="B61" s="169" t="s">
        <v>162</v>
      </c>
      <c r="C61" s="169" t="s">
        <v>163</v>
      </c>
      <c r="D61" s="169" t="s">
        <v>164</v>
      </c>
      <c r="E61" s="169" t="s">
        <v>165</v>
      </c>
      <c r="F61" s="169" t="s">
        <v>166</v>
      </c>
      <c r="G61" s="169" t="s">
        <v>167</v>
      </c>
      <c r="H61" s="169" t="s">
        <v>168</v>
      </c>
    </row>
    <row r="62" spans="1:8" x14ac:dyDescent="0.3">
      <c r="A62" s="10" t="s">
        <v>169</v>
      </c>
      <c r="B62" s="169"/>
      <c r="C62" s="169"/>
      <c r="D62" s="169"/>
      <c r="E62" s="169"/>
      <c r="F62" s="169"/>
      <c r="G62" s="169"/>
      <c r="H62" s="169"/>
    </row>
    <row r="63" spans="1:8" x14ac:dyDescent="0.3">
      <c r="A63" s="16" t="s">
        <v>170</v>
      </c>
      <c r="B63" s="155" t="s">
        <v>171</v>
      </c>
      <c r="C63" s="155"/>
      <c r="D63" s="155"/>
      <c r="E63" s="155"/>
      <c r="F63" s="155"/>
      <c r="G63" s="155"/>
      <c r="H63" s="155"/>
    </row>
    <row r="64" spans="1:8" x14ac:dyDescent="0.3">
      <c r="A64" s="15" t="s">
        <v>172</v>
      </c>
      <c r="B64" s="14" t="s">
        <v>28</v>
      </c>
      <c r="C64" s="14" t="s">
        <v>28</v>
      </c>
      <c r="D64" s="14" t="s">
        <v>28</v>
      </c>
      <c r="E64" s="14" t="s">
        <v>28</v>
      </c>
      <c r="F64" s="14" t="s">
        <v>28</v>
      </c>
      <c r="G64" s="14" t="s">
        <v>28</v>
      </c>
      <c r="H64" s="14" t="s">
        <v>28</v>
      </c>
    </row>
    <row r="65" spans="1:8" ht="56.25" x14ac:dyDescent="0.3">
      <c r="A65" s="10" t="s">
        <v>173</v>
      </c>
      <c r="B65" s="11" t="s">
        <v>28</v>
      </c>
      <c r="C65" s="11" t="s">
        <v>28</v>
      </c>
      <c r="D65" s="11" t="s">
        <v>28</v>
      </c>
      <c r="E65" s="11" t="s">
        <v>28</v>
      </c>
      <c r="F65" s="11" t="s">
        <v>28</v>
      </c>
      <c r="G65" s="11" t="s">
        <v>28</v>
      </c>
      <c r="H65" s="11" t="s">
        <v>28</v>
      </c>
    </row>
    <row r="66" spans="1:8" ht="56.25" x14ac:dyDescent="0.3">
      <c r="A66" s="163" t="s">
        <v>174</v>
      </c>
      <c r="B66" s="164" t="s">
        <v>176</v>
      </c>
      <c r="C66" s="164" t="s">
        <v>177</v>
      </c>
      <c r="D66" s="164" t="s">
        <v>178</v>
      </c>
      <c r="E66" s="14" t="s">
        <v>179</v>
      </c>
      <c r="F66" s="165" t="s">
        <v>180</v>
      </c>
      <c r="G66" s="165" t="s">
        <v>181</v>
      </c>
      <c r="H66" s="164" t="s">
        <v>33</v>
      </c>
    </row>
    <row r="67" spans="1:8" x14ac:dyDescent="0.3">
      <c r="A67" s="163"/>
      <c r="B67" s="164"/>
      <c r="C67" s="164"/>
      <c r="D67" s="164"/>
      <c r="E67" s="14" t="s">
        <v>182</v>
      </c>
      <c r="F67" s="165"/>
      <c r="G67" s="165"/>
      <c r="H67" s="164"/>
    </row>
    <row r="68" spans="1:8" ht="56.25" x14ac:dyDescent="0.3">
      <c r="A68" s="10" t="s">
        <v>183</v>
      </c>
      <c r="B68" s="11" t="s">
        <v>28</v>
      </c>
      <c r="C68" s="11" t="s">
        <v>28</v>
      </c>
      <c r="D68" s="11" t="s">
        <v>28</v>
      </c>
      <c r="E68" s="11" t="s">
        <v>28</v>
      </c>
      <c r="F68" s="11" t="s">
        <v>28</v>
      </c>
      <c r="G68" s="11" t="s">
        <v>28</v>
      </c>
      <c r="H68" s="11" t="s">
        <v>28</v>
      </c>
    </row>
    <row r="69" spans="1:8" ht="37.5" x14ac:dyDescent="0.3">
      <c r="A69" s="15" t="s">
        <v>184</v>
      </c>
      <c r="B69" s="14" t="s">
        <v>185</v>
      </c>
      <c r="C69" s="14" t="s">
        <v>186</v>
      </c>
      <c r="D69" s="14" t="s">
        <v>28</v>
      </c>
      <c r="E69" s="14" t="s">
        <v>28</v>
      </c>
      <c r="F69" s="14" t="s">
        <v>28</v>
      </c>
      <c r="G69" s="14" t="s">
        <v>28</v>
      </c>
      <c r="H69" s="14" t="s">
        <v>28</v>
      </c>
    </row>
    <row r="70" spans="1:8" x14ac:dyDescent="0.3">
      <c r="A70" s="16" t="s">
        <v>187</v>
      </c>
      <c r="B70" s="155" t="s">
        <v>188</v>
      </c>
      <c r="C70" s="155"/>
      <c r="D70" s="155"/>
      <c r="E70" s="155"/>
      <c r="F70" s="155"/>
      <c r="G70" s="155"/>
      <c r="H70" s="155"/>
    </row>
    <row r="71" spans="1:8" x14ac:dyDescent="0.3">
      <c r="A71" s="10" t="s">
        <v>189</v>
      </c>
      <c r="B71" s="20">
        <v>50000</v>
      </c>
      <c r="C71" s="20">
        <v>100000</v>
      </c>
      <c r="D71" s="20">
        <v>150000</v>
      </c>
      <c r="E71" s="20">
        <v>1000000</v>
      </c>
      <c r="F71" s="20">
        <v>1000000</v>
      </c>
      <c r="G71" s="21" t="s">
        <v>21</v>
      </c>
      <c r="H71" s="11" t="s">
        <v>21</v>
      </c>
    </row>
    <row r="72" spans="1:8" x14ac:dyDescent="0.3">
      <c r="A72" s="15" t="s">
        <v>190</v>
      </c>
      <c r="B72" s="159" t="s">
        <v>191</v>
      </c>
      <c r="C72" s="159" t="s">
        <v>192</v>
      </c>
      <c r="D72" s="159" t="s">
        <v>193</v>
      </c>
      <c r="E72" s="159" t="s">
        <v>194</v>
      </c>
      <c r="F72" s="161" t="s">
        <v>28</v>
      </c>
      <c r="G72" s="161" t="s">
        <v>28</v>
      </c>
      <c r="H72" s="161" t="s">
        <v>28</v>
      </c>
    </row>
    <row r="73" spans="1:8" ht="75" x14ac:dyDescent="0.3">
      <c r="A73" s="15" t="s">
        <v>195</v>
      </c>
      <c r="B73" s="160"/>
      <c r="C73" s="160"/>
      <c r="D73" s="160"/>
      <c r="E73" s="160"/>
      <c r="F73" s="162"/>
      <c r="G73" s="162"/>
      <c r="H73" s="162"/>
    </row>
    <row r="74" spans="1:8" ht="38.25" customHeight="1" x14ac:dyDescent="0.3">
      <c r="A74" s="16" t="s">
        <v>196</v>
      </c>
      <c r="B74" s="155" t="s">
        <v>197</v>
      </c>
      <c r="C74" s="155"/>
      <c r="D74" s="155"/>
      <c r="E74" s="155"/>
      <c r="F74" s="155"/>
      <c r="G74" s="155"/>
      <c r="H74" s="155"/>
    </row>
    <row r="75" spans="1:8" ht="37.5" x14ac:dyDescent="0.3">
      <c r="A75" s="15" t="s">
        <v>198</v>
      </c>
      <c r="B75" s="13" t="s">
        <v>119</v>
      </c>
      <c r="C75" s="13" t="s">
        <v>199</v>
      </c>
      <c r="D75" s="14" t="s">
        <v>28</v>
      </c>
      <c r="E75" s="14" t="s">
        <v>28</v>
      </c>
      <c r="F75" s="14" t="s">
        <v>28</v>
      </c>
      <c r="G75" s="14" t="s">
        <v>28</v>
      </c>
      <c r="H75" s="14" t="s">
        <v>28</v>
      </c>
    </row>
    <row r="76" spans="1:8" ht="37.5" x14ac:dyDescent="0.3">
      <c r="A76" s="10" t="s">
        <v>200</v>
      </c>
      <c r="B76" s="11" t="s">
        <v>33</v>
      </c>
      <c r="C76" s="11" t="s">
        <v>33</v>
      </c>
      <c r="D76" s="11" t="s">
        <v>201</v>
      </c>
      <c r="E76" s="11" t="s">
        <v>201</v>
      </c>
      <c r="F76" s="11" t="s">
        <v>201</v>
      </c>
      <c r="G76" s="11" t="s">
        <v>201</v>
      </c>
      <c r="H76" s="11" t="s">
        <v>201</v>
      </c>
    </row>
    <row r="77" spans="1:8" ht="243.75" x14ac:dyDescent="0.3">
      <c r="A77" s="22" t="s">
        <v>202</v>
      </c>
      <c r="B77" s="12" t="s">
        <v>203</v>
      </c>
      <c r="C77" s="12" t="s">
        <v>203</v>
      </c>
      <c r="D77" s="23" t="s">
        <v>204</v>
      </c>
      <c r="E77" s="12" t="s">
        <v>205</v>
      </c>
      <c r="F77" s="13" t="s">
        <v>206</v>
      </c>
      <c r="G77" s="13" t="s">
        <v>206</v>
      </c>
      <c r="H77" s="12" t="s">
        <v>207</v>
      </c>
    </row>
    <row r="78" spans="1:8" x14ac:dyDescent="0.3">
      <c r="A78" s="24" t="s">
        <v>208</v>
      </c>
      <c r="B78" s="156" t="s">
        <v>208</v>
      </c>
      <c r="C78" s="157"/>
      <c r="D78" s="157"/>
      <c r="E78" s="157"/>
      <c r="F78" s="157"/>
      <c r="G78" s="157"/>
      <c r="H78" s="158"/>
    </row>
    <row r="79" spans="1:8" ht="56.25" x14ac:dyDescent="0.3">
      <c r="A79" s="10" t="s">
        <v>209</v>
      </c>
      <c r="B79" s="11" t="s">
        <v>28</v>
      </c>
      <c r="C79" s="11" t="s">
        <v>28</v>
      </c>
      <c r="D79" s="11" t="s">
        <v>28</v>
      </c>
      <c r="E79" s="11" t="s">
        <v>28</v>
      </c>
      <c r="F79" s="11" t="s">
        <v>28</v>
      </c>
      <c r="G79" s="11" t="s">
        <v>28</v>
      </c>
      <c r="H79" s="11" t="s">
        <v>28</v>
      </c>
    </row>
    <row r="80" spans="1:8" ht="37.5" x14ac:dyDescent="0.3">
      <c r="A80" s="15" t="s">
        <v>210</v>
      </c>
      <c r="B80" s="14" t="s">
        <v>211</v>
      </c>
      <c r="C80" s="14" t="s">
        <v>212</v>
      </c>
      <c r="D80" s="14" t="s">
        <v>213</v>
      </c>
      <c r="E80" s="25" t="s">
        <v>214</v>
      </c>
      <c r="F80" s="25" t="s">
        <v>214</v>
      </c>
      <c r="G80" s="25" t="s">
        <v>215</v>
      </c>
      <c r="H80" s="14" t="s">
        <v>216</v>
      </c>
    </row>
    <row r="81" spans="1:8" x14ac:dyDescent="0.3">
      <c r="A81" s="16" t="s">
        <v>217</v>
      </c>
      <c r="B81" s="156" t="s">
        <v>217</v>
      </c>
      <c r="C81" s="157"/>
      <c r="D81" s="157"/>
      <c r="E81" s="157"/>
      <c r="F81" s="157"/>
      <c r="G81" s="157"/>
      <c r="H81" s="158"/>
    </row>
    <row r="82" spans="1:8" x14ac:dyDescent="0.3">
      <c r="A82" s="15" t="s">
        <v>218</v>
      </c>
      <c r="B82" s="14" t="s">
        <v>28</v>
      </c>
      <c r="C82" s="14" t="s">
        <v>28</v>
      </c>
      <c r="D82" s="14" t="s">
        <v>28</v>
      </c>
      <c r="E82" s="14" t="s">
        <v>28</v>
      </c>
      <c r="F82" s="14" t="s">
        <v>28</v>
      </c>
      <c r="G82" s="14" t="s">
        <v>28</v>
      </c>
      <c r="H82" s="14" t="s">
        <v>28</v>
      </c>
    </row>
    <row r="83" spans="1:8" x14ac:dyDescent="0.3">
      <c r="A83" s="10" t="s">
        <v>219</v>
      </c>
      <c r="B83" s="11" t="s">
        <v>28</v>
      </c>
      <c r="C83" s="11" t="s">
        <v>28</v>
      </c>
      <c r="D83" s="11" t="s">
        <v>28</v>
      </c>
      <c r="E83" s="11" t="s">
        <v>28</v>
      </c>
      <c r="F83" s="11" t="s">
        <v>28</v>
      </c>
      <c r="G83" s="11" t="s">
        <v>28</v>
      </c>
      <c r="H83" s="11" t="s">
        <v>28</v>
      </c>
    </row>
    <row r="84" spans="1:8" x14ac:dyDescent="0.3">
      <c r="A84" s="15" t="s">
        <v>220</v>
      </c>
      <c r="B84" s="14" t="s">
        <v>221</v>
      </c>
      <c r="C84" s="14" t="s">
        <v>221</v>
      </c>
      <c r="D84" s="14" t="s">
        <v>221</v>
      </c>
      <c r="E84" s="14" t="s">
        <v>221</v>
      </c>
      <c r="F84" s="14" t="s">
        <v>221</v>
      </c>
      <c r="G84" s="14" t="s">
        <v>221</v>
      </c>
      <c r="H84" s="14" t="s">
        <v>222</v>
      </c>
    </row>
    <row r="85" spans="1:8" ht="37.5" x14ac:dyDescent="0.3">
      <c r="A85" s="10" t="s">
        <v>223</v>
      </c>
      <c r="B85" s="11" t="s">
        <v>28</v>
      </c>
      <c r="C85" s="11" t="s">
        <v>28</v>
      </c>
      <c r="D85" s="11" t="s">
        <v>28</v>
      </c>
      <c r="E85" s="11" t="s">
        <v>28</v>
      </c>
      <c r="F85" s="11" t="s">
        <v>28</v>
      </c>
      <c r="G85" s="11" t="s">
        <v>28</v>
      </c>
      <c r="H85" s="11" t="s">
        <v>28</v>
      </c>
    </row>
    <row r="86" spans="1:8" x14ac:dyDescent="0.3">
      <c r="A86" s="15" t="s">
        <v>224</v>
      </c>
      <c r="B86" s="14" t="s">
        <v>33</v>
      </c>
      <c r="C86" s="14" t="s">
        <v>33</v>
      </c>
      <c r="D86" s="14" t="s">
        <v>163</v>
      </c>
      <c r="E86" s="14" t="s">
        <v>225</v>
      </c>
      <c r="F86" s="14" t="s">
        <v>225</v>
      </c>
      <c r="G86" s="14" t="s">
        <v>225</v>
      </c>
      <c r="H86" s="14" t="s">
        <v>44</v>
      </c>
    </row>
    <row r="87" spans="1:8" ht="37.5" x14ac:dyDescent="0.3">
      <c r="A87" s="10" t="s">
        <v>226</v>
      </c>
      <c r="B87" s="11" t="s">
        <v>28</v>
      </c>
      <c r="C87" s="11" t="s">
        <v>28</v>
      </c>
      <c r="D87" s="11" t="s">
        <v>28</v>
      </c>
      <c r="E87" s="11" t="s">
        <v>28</v>
      </c>
      <c r="F87" s="11" t="s">
        <v>28</v>
      </c>
      <c r="G87" s="11" t="s">
        <v>28</v>
      </c>
      <c r="H87" s="11" t="s">
        <v>28</v>
      </c>
    </row>
    <row r="88" spans="1:8" x14ac:dyDescent="0.3">
      <c r="A88" s="15" t="s">
        <v>227</v>
      </c>
      <c r="B88" s="14" t="s">
        <v>33</v>
      </c>
      <c r="C88" s="14" t="s">
        <v>33</v>
      </c>
      <c r="D88" s="14" t="s">
        <v>228</v>
      </c>
      <c r="E88" s="14" t="s">
        <v>229</v>
      </c>
      <c r="F88" s="14" t="s">
        <v>229</v>
      </c>
      <c r="G88" s="14" t="s">
        <v>229</v>
      </c>
      <c r="H88" s="14" t="s">
        <v>229</v>
      </c>
    </row>
    <row r="89" spans="1:8" ht="37.5" x14ac:dyDescent="0.3">
      <c r="A89" s="10" t="s">
        <v>230</v>
      </c>
      <c r="B89" s="11" t="s">
        <v>28</v>
      </c>
      <c r="C89" s="11" t="s">
        <v>28</v>
      </c>
      <c r="D89" s="11" t="s">
        <v>28</v>
      </c>
      <c r="E89" s="11" t="s">
        <v>28</v>
      </c>
      <c r="F89" s="11" t="s">
        <v>28</v>
      </c>
      <c r="G89" s="11" t="s">
        <v>28</v>
      </c>
      <c r="H89" s="11" t="s">
        <v>28</v>
      </c>
    </row>
    <row r="90" spans="1:8" ht="37.5" x14ac:dyDescent="0.3">
      <c r="A90" s="15" t="s">
        <v>231</v>
      </c>
      <c r="B90" s="14" t="s">
        <v>28</v>
      </c>
      <c r="C90" s="14" t="s">
        <v>28</v>
      </c>
      <c r="D90" s="14" t="s">
        <v>28</v>
      </c>
      <c r="E90" s="14" t="s">
        <v>28</v>
      </c>
      <c r="F90" s="14" t="s">
        <v>28</v>
      </c>
      <c r="G90" s="14" t="s">
        <v>28</v>
      </c>
      <c r="H90" s="14" t="s">
        <v>28</v>
      </c>
    </row>
    <row r="91" spans="1:8" x14ac:dyDescent="0.3">
      <c r="A91" s="26" t="s">
        <v>232</v>
      </c>
      <c r="B91" s="11" t="s">
        <v>33</v>
      </c>
      <c r="C91" s="11" t="s">
        <v>33</v>
      </c>
      <c r="D91" s="11" t="s">
        <v>33</v>
      </c>
      <c r="E91" s="11" t="s">
        <v>33</v>
      </c>
      <c r="F91" s="11" t="s">
        <v>233</v>
      </c>
      <c r="G91" s="11" t="s">
        <v>123</v>
      </c>
      <c r="H91" s="11" t="s">
        <v>123</v>
      </c>
    </row>
    <row r="92" spans="1:8" ht="37.5" x14ac:dyDescent="0.3">
      <c r="A92" s="15" t="s">
        <v>234</v>
      </c>
      <c r="B92" s="14" t="s">
        <v>28</v>
      </c>
      <c r="C92" s="14" t="s">
        <v>28</v>
      </c>
      <c r="D92" s="14" t="s">
        <v>28</v>
      </c>
      <c r="E92" s="14" t="s">
        <v>28</v>
      </c>
      <c r="F92" s="14" t="s">
        <v>28</v>
      </c>
      <c r="G92" s="14" t="s">
        <v>28</v>
      </c>
      <c r="H92" s="14" t="s">
        <v>28</v>
      </c>
    </row>
    <row r="93" spans="1:8" x14ac:dyDescent="0.3">
      <c r="A93" s="10" t="s">
        <v>235</v>
      </c>
      <c r="B93" s="11" t="s">
        <v>28</v>
      </c>
      <c r="C93" s="11" t="s">
        <v>28</v>
      </c>
      <c r="D93" s="11" t="s">
        <v>28</v>
      </c>
      <c r="E93" s="11" t="s">
        <v>28</v>
      </c>
      <c r="F93" s="11" t="s">
        <v>28</v>
      </c>
      <c r="G93" s="11" t="s">
        <v>28</v>
      </c>
      <c r="H93" s="11" t="s">
        <v>28</v>
      </c>
    </row>
    <row r="94" spans="1:8" x14ac:dyDescent="0.3">
      <c r="A94" s="27" t="s">
        <v>236</v>
      </c>
      <c r="B94" s="14" t="s">
        <v>33</v>
      </c>
      <c r="C94" s="14" t="s">
        <v>33</v>
      </c>
      <c r="D94" s="14" t="s">
        <v>33</v>
      </c>
      <c r="E94" s="14" t="s">
        <v>33</v>
      </c>
      <c r="F94" s="14" t="s">
        <v>33</v>
      </c>
      <c r="G94" s="14" t="s">
        <v>28</v>
      </c>
      <c r="H94" s="14" t="s">
        <v>28</v>
      </c>
    </row>
    <row r="95" spans="1:8" ht="37.5" x14ac:dyDescent="0.3">
      <c r="A95" s="27" t="s">
        <v>237</v>
      </c>
      <c r="B95" s="14" t="s">
        <v>33</v>
      </c>
      <c r="C95" s="14" t="s">
        <v>33</v>
      </c>
      <c r="D95" s="14" t="s">
        <v>33</v>
      </c>
      <c r="E95" s="14" t="s">
        <v>33</v>
      </c>
      <c r="F95" s="14" t="s">
        <v>33</v>
      </c>
      <c r="G95" s="14" t="s">
        <v>28</v>
      </c>
      <c r="H95" s="14" t="s">
        <v>28</v>
      </c>
    </row>
    <row r="96" spans="1:8" x14ac:dyDescent="0.3">
      <c r="A96" s="28" t="s">
        <v>238</v>
      </c>
      <c r="B96" s="34">
        <v>121268</v>
      </c>
      <c r="C96" s="34">
        <v>164200</v>
      </c>
      <c r="D96" s="34">
        <v>262275</v>
      </c>
      <c r="E96" s="34">
        <v>382582</v>
      </c>
      <c r="F96" s="34">
        <v>734250</v>
      </c>
      <c r="G96" s="34">
        <v>1737750</v>
      </c>
      <c r="H96" s="35">
        <v>6000</v>
      </c>
    </row>
    <row r="97" spans="1:8" x14ac:dyDescent="0.3">
      <c r="A97" s="28" t="s">
        <v>239</v>
      </c>
      <c r="B97" s="29">
        <f t="shared" ref="B97:G97" si="0">B96*4.75</f>
        <v>576023</v>
      </c>
      <c r="C97" s="29">
        <f t="shared" si="0"/>
        <v>779950</v>
      </c>
      <c r="D97" s="29">
        <f t="shared" si="0"/>
        <v>1245806.25</v>
      </c>
      <c r="E97" s="29">
        <f t="shared" si="0"/>
        <v>1817264.5</v>
      </c>
      <c r="F97" s="29">
        <f t="shared" si="0"/>
        <v>3487687.5</v>
      </c>
      <c r="G97" s="29">
        <f t="shared" si="0"/>
        <v>8254312.5</v>
      </c>
      <c r="H97" s="35">
        <f>H96*5</f>
        <v>30000</v>
      </c>
    </row>
    <row r="99" spans="1:8" x14ac:dyDescent="0.3">
      <c r="B99" s="31"/>
      <c r="C99" s="31"/>
      <c r="D99" s="31"/>
      <c r="E99" s="31"/>
    </row>
    <row r="105" spans="1:8" x14ac:dyDescent="0.3">
      <c r="B105" s="33"/>
      <c r="C105" s="33"/>
      <c r="D105" s="33"/>
      <c r="E105" s="33"/>
      <c r="F105" s="33"/>
      <c r="G105" s="33"/>
    </row>
  </sheetData>
  <mergeCells count="39">
    <mergeCell ref="B6:H6"/>
    <mergeCell ref="B14:H14"/>
    <mergeCell ref="B20:H20"/>
    <mergeCell ref="B25:H25"/>
    <mergeCell ref="B31:H31"/>
    <mergeCell ref="B40:H40"/>
    <mergeCell ref="B45:H45"/>
    <mergeCell ref="B48:H48"/>
    <mergeCell ref="B49:B50"/>
    <mergeCell ref="C49:C50"/>
    <mergeCell ref="B52:H52"/>
    <mergeCell ref="B57:H57"/>
    <mergeCell ref="B60:H60"/>
    <mergeCell ref="B61:B62"/>
    <mergeCell ref="C61:C62"/>
    <mergeCell ref="D61:D62"/>
    <mergeCell ref="E61:E62"/>
    <mergeCell ref="F61:F62"/>
    <mergeCell ref="G61:G62"/>
    <mergeCell ref="H61:H62"/>
    <mergeCell ref="B63:H63"/>
    <mergeCell ref="A66:A67"/>
    <mergeCell ref="B66:B67"/>
    <mergeCell ref="C66:C67"/>
    <mergeCell ref="D66:D67"/>
    <mergeCell ref="F66:F67"/>
    <mergeCell ref="G66:G67"/>
    <mergeCell ref="H66:H67"/>
    <mergeCell ref="B74:H74"/>
    <mergeCell ref="B78:H78"/>
    <mergeCell ref="B81:H81"/>
    <mergeCell ref="B70:H70"/>
    <mergeCell ref="B72:B73"/>
    <mergeCell ref="C72:C73"/>
    <mergeCell ref="D72:D73"/>
    <mergeCell ref="E72:E73"/>
    <mergeCell ref="F72:F73"/>
    <mergeCell ref="G72:G73"/>
    <mergeCell ref="H72:H7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4D75-C393-4E1F-A7BB-E5B6CA08F310}">
  <dimension ref="A1:F107"/>
  <sheetViews>
    <sheetView tabSelected="1" topLeftCell="A66" workbookViewId="0">
      <selection activeCell="B68" sqref="B68:F68"/>
    </sheetView>
  </sheetViews>
  <sheetFormatPr defaultColWidth="30.7109375" defaultRowHeight="15" x14ac:dyDescent="0.25"/>
  <cols>
    <col min="1" max="1" width="42.42578125" style="99" customWidth="1"/>
    <col min="2" max="5" width="30.7109375" style="66"/>
    <col min="6" max="6" width="37.140625" style="66" customWidth="1"/>
    <col min="7" max="16384" width="30.7109375" style="66"/>
  </cols>
  <sheetData>
    <row r="1" spans="1:6" ht="15.75" x14ac:dyDescent="0.25">
      <c r="A1" s="36" t="s">
        <v>240</v>
      </c>
      <c r="B1" s="61" t="s">
        <v>1</v>
      </c>
      <c r="C1" s="62" t="s">
        <v>2</v>
      </c>
      <c r="D1" s="63" t="s">
        <v>3</v>
      </c>
      <c r="E1" s="64" t="s">
        <v>4</v>
      </c>
      <c r="F1" s="65" t="s">
        <v>5</v>
      </c>
    </row>
    <row r="2" spans="1:6" ht="15.75" x14ac:dyDescent="0.25">
      <c r="A2" s="37" t="s">
        <v>8</v>
      </c>
      <c r="B2" s="67" t="s">
        <v>241</v>
      </c>
      <c r="C2" s="68" t="s">
        <v>10</v>
      </c>
      <c r="D2" s="68" t="s">
        <v>242</v>
      </c>
      <c r="E2" s="68" t="s">
        <v>11</v>
      </c>
      <c r="F2" s="69" t="s">
        <v>595</v>
      </c>
    </row>
    <row r="3" spans="1:6" ht="31.5" x14ac:dyDescent="0.25">
      <c r="A3" s="37" t="s">
        <v>15</v>
      </c>
      <c r="B3" s="38" t="s">
        <v>243</v>
      </c>
      <c r="C3" s="39" t="s">
        <v>243</v>
      </c>
      <c r="D3" s="39" t="s">
        <v>244</v>
      </c>
      <c r="E3" s="39" t="s">
        <v>245</v>
      </c>
      <c r="F3" s="40" t="s">
        <v>245</v>
      </c>
    </row>
    <row r="4" spans="1:6" ht="15.75" x14ac:dyDescent="0.25">
      <c r="A4" s="36" t="s">
        <v>20</v>
      </c>
      <c r="B4" s="68" t="s">
        <v>21</v>
      </c>
      <c r="C4" s="68" t="s">
        <v>21</v>
      </c>
      <c r="D4" s="68" t="s">
        <v>21</v>
      </c>
      <c r="E4" s="68" t="s">
        <v>21</v>
      </c>
      <c r="F4" s="70" t="s">
        <v>21</v>
      </c>
    </row>
    <row r="5" spans="1:6" ht="15.75" x14ac:dyDescent="0.25">
      <c r="A5" s="36" t="s">
        <v>23</v>
      </c>
      <c r="B5" s="68" t="s">
        <v>246</v>
      </c>
      <c r="C5" s="68" t="s">
        <v>24</v>
      </c>
      <c r="D5" s="68" t="s">
        <v>21</v>
      </c>
      <c r="E5" s="68" t="s">
        <v>21</v>
      </c>
      <c r="F5" s="70" t="s">
        <v>21</v>
      </c>
    </row>
    <row r="6" spans="1:6" ht="15.75" x14ac:dyDescent="0.25">
      <c r="A6" s="184" t="s">
        <v>247</v>
      </c>
      <c r="B6" s="185"/>
      <c r="C6" s="185"/>
      <c r="D6" s="185"/>
      <c r="E6" s="185"/>
      <c r="F6" s="186"/>
    </row>
    <row r="7" spans="1:6" ht="15.75" x14ac:dyDescent="0.25">
      <c r="A7" s="42" t="s">
        <v>248</v>
      </c>
      <c r="B7" s="71" t="s">
        <v>249</v>
      </c>
      <c r="C7" s="71" t="s">
        <v>250</v>
      </c>
      <c r="D7" s="72" t="s">
        <v>251</v>
      </c>
      <c r="E7" s="72" t="s">
        <v>252</v>
      </c>
      <c r="F7" s="73" t="s">
        <v>252</v>
      </c>
    </row>
    <row r="8" spans="1:6" ht="31.5" x14ac:dyDescent="0.25">
      <c r="A8" s="42" t="s">
        <v>64</v>
      </c>
      <c r="B8" s="72" t="s">
        <v>65</v>
      </c>
      <c r="C8" s="72" t="s">
        <v>65</v>
      </c>
      <c r="D8" s="72" t="s">
        <v>65</v>
      </c>
      <c r="E8" s="72" t="s">
        <v>253</v>
      </c>
      <c r="F8" s="74" t="s">
        <v>70</v>
      </c>
    </row>
    <row r="9" spans="1:6" ht="15.75" x14ac:dyDescent="0.25">
      <c r="A9" s="42" t="s">
        <v>68</v>
      </c>
      <c r="B9" s="71" t="s">
        <v>28</v>
      </c>
      <c r="C9" s="71" t="s">
        <v>28</v>
      </c>
      <c r="D9" s="71" t="s">
        <v>28</v>
      </c>
      <c r="E9" s="71" t="s">
        <v>28</v>
      </c>
      <c r="F9" s="70" t="s">
        <v>28</v>
      </c>
    </row>
    <row r="10" spans="1:6" ht="15.75" x14ac:dyDescent="0.25">
      <c r="A10" s="42" t="s">
        <v>210</v>
      </c>
      <c r="B10" s="75">
        <v>300000</v>
      </c>
      <c r="C10" s="75">
        <v>400000</v>
      </c>
      <c r="D10" s="75">
        <v>500000</v>
      </c>
      <c r="E10" s="75">
        <v>650000</v>
      </c>
      <c r="F10" s="76">
        <v>800000</v>
      </c>
    </row>
    <row r="11" spans="1:6" ht="15.75" x14ac:dyDescent="0.25">
      <c r="A11" s="42" t="s">
        <v>254</v>
      </c>
      <c r="B11" s="71" t="s">
        <v>255</v>
      </c>
      <c r="C11" s="71" t="s">
        <v>256</v>
      </c>
      <c r="D11" s="71" t="s">
        <v>257</v>
      </c>
      <c r="E11" s="71" t="s">
        <v>258</v>
      </c>
      <c r="F11" s="70" t="s">
        <v>259</v>
      </c>
    </row>
    <row r="12" spans="1:6" ht="15.75" x14ac:dyDescent="0.25">
      <c r="A12" s="187" t="s">
        <v>115</v>
      </c>
      <c r="B12" s="188"/>
      <c r="C12" s="188"/>
      <c r="D12" s="188"/>
      <c r="E12" s="188"/>
      <c r="F12" s="189"/>
    </row>
    <row r="13" spans="1:6" ht="15.75" x14ac:dyDescent="0.25">
      <c r="A13" s="42" t="s">
        <v>260</v>
      </c>
      <c r="B13" s="71" t="s">
        <v>261</v>
      </c>
      <c r="C13" s="71" t="s">
        <v>262</v>
      </c>
      <c r="D13" s="71" t="s">
        <v>263</v>
      </c>
      <c r="E13" s="71" t="s">
        <v>264</v>
      </c>
      <c r="F13" s="70" t="s">
        <v>265</v>
      </c>
    </row>
    <row r="14" spans="1:6" ht="15.75" x14ac:dyDescent="0.25">
      <c r="A14" s="42" t="s">
        <v>266</v>
      </c>
      <c r="B14" s="71" t="s">
        <v>267</v>
      </c>
      <c r="C14" s="71" t="s">
        <v>268</v>
      </c>
      <c r="D14" s="71" t="s">
        <v>269</v>
      </c>
      <c r="E14" s="71" t="s">
        <v>269</v>
      </c>
      <c r="F14" s="70" t="s">
        <v>269</v>
      </c>
    </row>
    <row r="15" spans="1:6" ht="16.5" thickBot="1" x14ac:dyDescent="0.3">
      <c r="A15" s="190" t="s">
        <v>128</v>
      </c>
      <c r="B15" s="191"/>
      <c r="C15" s="191"/>
      <c r="D15" s="191"/>
      <c r="E15" s="191"/>
      <c r="F15" s="192"/>
    </row>
    <row r="16" spans="1:6" ht="15.75" x14ac:dyDescent="0.25">
      <c r="A16" s="42" t="s">
        <v>270</v>
      </c>
      <c r="B16" s="212" t="s">
        <v>271</v>
      </c>
      <c r="C16" s="212" t="s">
        <v>272</v>
      </c>
      <c r="D16" s="212" t="s">
        <v>273</v>
      </c>
      <c r="E16" s="213" t="s">
        <v>152</v>
      </c>
      <c r="F16" s="198" t="s">
        <v>153</v>
      </c>
    </row>
    <row r="17" spans="1:6" ht="48" thickBot="1" x14ac:dyDescent="0.3">
      <c r="A17" s="42" t="s">
        <v>274</v>
      </c>
      <c r="B17" s="212"/>
      <c r="C17" s="212"/>
      <c r="D17" s="212"/>
      <c r="E17" s="213"/>
      <c r="F17" s="199"/>
    </row>
    <row r="18" spans="1:6" ht="15.75" x14ac:dyDescent="0.25">
      <c r="A18" s="200" t="s">
        <v>275</v>
      </c>
      <c r="B18" s="201"/>
      <c r="C18" s="201"/>
      <c r="D18" s="201"/>
      <c r="E18" s="201"/>
      <c r="F18" s="202"/>
    </row>
    <row r="19" spans="1:6" ht="15.75" x14ac:dyDescent="0.25">
      <c r="A19" s="42" t="s">
        <v>48</v>
      </c>
      <c r="B19" s="72" t="s">
        <v>28</v>
      </c>
      <c r="C19" s="72" t="s">
        <v>28</v>
      </c>
      <c r="D19" s="72" t="s">
        <v>28</v>
      </c>
      <c r="E19" s="72" t="s">
        <v>28</v>
      </c>
      <c r="F19" s="73" t="s">
        <v>28</v>
      </c>
    </row>
    <row r="20" spans="1:6" ht="15.75" x14ac:dyDescent="0.25">
      <c r="A20" s="42" t="s">
        <v>49</v>
      </c>
      <c r="B20" s="72" t="s">
        <v>276</v>
      </c>
      <c r="C20" s="72" t="s">
        <v>277</v>
      </c>
      <c r="D20" s="72" t="s">
        <v>278</v>
      </c>
      <c r="E20" s="72" t="s">
        <v>28</v>
      </c>
      <c r="F20" s="73" t="s">
        <v>28</v>
      </c>
    </row>
    <row r="21" spans="1:6" ht="15.75" x14ac:dyDescent="0.25">
      <c r="A21" s="42" t="s">
        <v>50</v>
      </c>
      <c r="B21" s="72" t="s">
        <v>21</v>
      </c>
      <c r="C21" s="72" t="s">
        <v>21</v>
      </c>
      <c r="D21" s="72" t="s">
        <v>21</v>
      </c>
      <c r="E21" s="72" t="s">
        <v>21</v>
      </c>
      <c r="F21" s="73" t="s">
        <v>21</v>
      </c>
    </row>
    <row r="22" spans="1:6" ht="15.75" x14ac:dyDescent="0.25">
      <c r="A22" s="42" t="s">
        <v>279</v>
      </c>
      <c r="B22" s="72" t="s">
        <v>28</v>
      </c>
      <c r="C22" s="72" t="s">
        <v>28</v>
      </c>
      <c r="D22" s="72" t="s">
        <v>28</v>
      </c>
      <c r="E22" s="72" t="s">
        <v>28</v>
      </c>
      <c r="F22" s="73" t="s">
        <v>28</v>
      </c>
    </row>
    <row r="23" spans="1:6" ht="15.75" x14ac:dyDescent="0.25">
      <c r="A23" s="203" t="s">
        <v>138</v>
      </c>
      <c r="B23" s="204"/>
      <c r="C23" s="204"/>
      <c r="D23" s="204"/>
      <c r="E23" s="204"/>
      <c r="F23" s="205"/>
    </row>
    <row r="24" spans="1:6" ht="47.25" x14ac:dyDescent="0.25">
      <c r="A24" s="45" t="s">
        <v>280</v>
      </c>
      <c r="B24" s="75">
        <v>20000</v>
      </c>
      <c r="C24" s="75">
        <v>30000</v>
      </c>
      <c r="D24" s="75">
        <v>50000</v>
      </c>
      <c r="E24" s="71" t="s">
        <v>21</v>
      </c>
      <c r="F24" s="70" t="s">
        <v>21</v>
      </c>
    </row>
    <row r="25" spans="1:6" ht="15.75" x14ac:dyDescent="0.25">
      <c r="A25" s="42" t="s">
        <v>281</v>
      </c>
      <c r="B25" s="71" t="s">
        <v>282</v>
      </c>
      <c r="C25" s="71" t="s">
        <v>283</v>
      </c>
      <c r="D25" s="71" t="s">
        <v>284</v>
      </c>
      <c r="E25" s="71" t="s">
        <v>285</v>
      </c>
      <c r="F25" s="70" t="s">
        <v>286</v>
      </c>
    </row>
    <row r="26" spans="1:6" ht="31.5" x14ac:dyDescent="0.25">
      <c r="A26" s="42" t="s">
        <v>150</v>
      </c>
      <c r="B26" s="71" t="s">
        <v>287</v>
      </c>
      <c r="C26" s="71" t="s">
        <v>287</v>
      </c>
      <c r="D26" s="71" t="s">
        <v>287</v>
      </c>
      <c r="E26" s="71" t="s">
        <v>287</v>
      </c>
      <c r="F26" s="68" t="s">
        <v>287</v>
      </c>
    </row>
    <row r="27" spans="1:6" ht="15.75" x14ac:dyDescent="0.25">
      <c r="A27" s="206" t="s">
        <v>155</v>
      </c>
      <c r="B27" s="207"/>
      <c r="C27" s="207"/>
      <c r="D27" s="207"/>
      <c r="E27" s="207"/>
      <c r="F27" s="208"/>
    </row>
    <row r="28" spans="1:6" ht="15.75" x14ac:dyDescent="0.25">
      <c r="A28" s="42" t="s">
        <v>157</v>
      </c>
      <c r="B28" s="72" t="s">
        <v>28</v>
      </c>
      <c r="C28" s="72" t="s">
        <v>28</v>
      </c>
      <c r="D28" s="72" t="s">
        <v>28</v>
      </c>
      <c r="E28" s="72" t="s">
        <v>28</v>
      </c>
      <c r="F28" s="74" t="s">
        <v>28</v>
      </c>
    </row>
    <row r="29" spans="1:6" ht="15.75" x14ac:dyDescent="0.25">
      <c r="A29" s="42" t="s">
        <v>158</v>
      </c>
      <c r="B29" s="72" t="s">
        <v>287</v>
      </c>
      <c r="C29" s="72" t="s">
        <v>287</v>
      </c>
      <c r="D29" s="72" t="s">
        <v>287</v>
      </c>
      <c r="E29" s="72" t="s">
        <v>287</v>
      </c>
      <c r="F29" s="73" t="s">
        <v>287</v>
      </c>
    </row>
    <row r="30" spans="1:6" ht="15.75" x14ac:dyDescent="0.25">
      <c r="A30" s="209" t="s">
        <v>159</v>
      </c>
      <c r="B30" s="210"/>
      <c r="C30" s="210"/>
      <c r="D30" s="210"/>
      <c r="E30" s="210"/>
      <c r="F30" s="211"/>
    </row>
    <row r="31" spans="1:6" ht="78.75" x14ac:dyDescent="0.25">
      <c r="A31" s="42" t="s">
        <v>288</v>
      </c>
      <c r="B31" s="77" t="s">
        <v>289</v>
      </c>
      <c r="C31" s="77" t="s">
        <v>290</v>
      </c>
      <c r="D31" s="77" t="s">
        <v>291</v>
      </c>
      <c r="E31" s="77" t="s">
        <v>292</v>
      </c>
      <c r="F31" s="78" t="s">
        <v>261</v>
      </c>
    </row>
    <row r="32" spans="1:6" ht="94.5" x14ac:dyDescent="0.25">
      <c r="A32" s="42" t="s">
        <v>293</v>
      </c>
      <c r="B32" s="79"/>
      <c r="C32" s="79"/>
      <c r="D32" s="79"/>
      <c r="E32" s="79"/>
      <c r="F32" s="80"/>
    </row>
    <row r="33" spans="1:6" ht="15.75" x14ac:dyDescent="0.25">
      <c r="A33" s="214" t="s">
        <v>170</v>
      </c>
      <c r="B33" s="215"/>
      <c r="C33" s="215"/>
      <c r="D33" s="215"/>
      <c r="E33" s="215"/>
      <c r="F33" s="216"/>
    </row>
    <row r="34" spans="1:6" ht="15.75" x14ac:dyDescent="0.25">
      <c r="A34" s="42" t="s">
        <v>172</v>
      </c>
      <c r="B34" s="196">
        <v>30000</v>
      </c>
      <c r="C34" s="196">
        <v>50000</v>
      </c>
      <c r="D34" s="71" t="s">
        <v>294</v>
      </c>
      <c r="E34" s="71" t="s">
        <v>294</v>
      </c>
      <c r="F34" s="70" t="s">
        <v>294</v>
      </c>
    </row>
    <row r="35" spans="1:6" ht="31.5" x14ac:dyDescent="0.25">
      <c r="A35" s="42" t="s">
        <v>173</v>
      </c>
      <c r="B35" s="197"/>
      <c r="C35" s="197"/>
      <c r="D35" s="71" t="s">
        <v>294</v>
      </c>
      <c r="E35" s="71" t="s">
        <v>294</v>
      </c>
      <c r="F35" s="70" t="s">
        <v>294</v>
      </c>
    </row>
    <row r="36" spans="1:6" ht="47.25" x14ac:dyDescent="0.25">
      <c r="A36" s="42" t="s">
        <v>174</v>
      </c>
      <c r="B36" s="71" t="s">
        <v>39</v>
      </c>
      <c r="C36" s="43" t="s">
        <v>295</v>
      </c>
      <c r="D36" s="43" t="s">
        <v>296</v>
      </c>
      <c r="E36" s="43" t="s">
        <v>297</v>
      </c>
      <c r="F36" s="41" t="s">
        <v>298</v>
      </c>
    </row>
    <row r="37" spans="1:6" ht="63" x14ac:dyDescent="0.25">
      <c r="A37" s="42" t="s">
        <v>299</v>
      </c>
      <c r="B37" s="71" t="s">
        <v>300</v>
      </c>
      <c r="C37" s="71" t="s">
        <v>301</v>
      </c>
      <c r="D37" s="71" t="s">
        <v>302</v>
      </c>
      <c r="E37" s="71" t="s">
        <v>261</v>
      </c>
      <c r="F37" s="68" t="s">
        <v>303</v>
      </c>
    </row>
    <row r="38" spans="1:6" ht="15.75" x14ac:dyDescent="0.25">
      <c r="A38" s="172" t="s">
        <v>187</v>
      </c>
      <c r="B38" s="173"/>
      <c r="C38" s="173"/>
      <c r="D38" s="173"/>
      <c r="E38" s="173"/>
      <c r="F38" s="174"/>
    </row>
    <row r="39" spans="1:6" ht="15.75" x14ac:dyDescent="0.25">
      <c r="A39" s="42" t="s">
        <v>189</v>
      </c>
      <c r="B39" s="81">
        <v>15000</v>
      </c>
      <c r="C39" s="81">
        <v>25000</v>
      </c>
      <c r="D39" s="81">
        <v>40000</v>
      </c>
      <c r="E39" s="81">
        <v>50000</v>
      </c>
      <c r="F39" s="82">
        <v>70000</v>
      </c>
    </row>
    <row r="40" spans="1:6" ht="63" x14ac:dyDescent="0.25">
      <c r="A40" s="42" t="s">
        <v>304</v>
      </c>
      <c r="B40" s="71" t="s">
        <v>305</v>
      </c>
      <c r="C40" s="71" t="s">
        <v>301</v>
      </c>
      <c r="D40" s="71" t="s">
        <v>302</v>
      </c>
      <c r="E40" s="71" t="s">
        <v>261</v>
      </c>
      <c r="F40" s="68" t="s">
        <v>306</v>
      </c>
    </row>
    <row r="41" spans="1:6" ht="15.75" x14ac:dyDescent="0.25">
      <c r="A41" s="175" t="s">
        <v>307</v>
      </c>
      <c r="B41" s="176"/>
      <c r="C41" s="176"/>
      <c r="D41" s="176"/>
      <c r="E41" s="176"/>
      <c r="F41" s="177"/>
    </row>
    <row r="42" spans="1:6" ht="31.5" x14ac:dyDescent="0.25">
      <c r="A42" s="46" t="s">
        <v>308</v>
      </c>
      <c r="B42" s="83" t="s">
        <v>309</v>
      </c>
      <c r="C42" s="83" t="s">
        <v>309</v>
      </c>
      <c r="D42" s="83" t="s">
        <v>309</v>
      </c>
      <c r="E42" s="83" t="s">
        <v>21</v>
      </c>
      <c r="F42" s="83" t="s">
        <v>21</v>
      </c>
    </row>
    <row r="43" spans="1:6" ht="47.25" x14ac:dyDescent="0.25">
      <c r="A43" s="45" t="s">
        <v>310</v>
      </c>
      <c r="B43" s="72" t="s">
        <v>33</v>
      </c>
      <c r="C43" s="72" t="s">
        <v>33</v>
      </c>
      <c r="D43" s="72" t="s">
        <v>33</v>
      </c>
      <c r="E43" s="72" t="s">
        <v>311</v>
      </c>
      <c r="F43" s="83" t="s">
        <v>312</v>
      </c>
    </row>
    <row r="44" spans="1:6" ht="31.5" x14ac:dyDescent="0.25">
      <c r="A44" s="48" t="s">
        <v>313</v>
      </c>
      <c r="B44" s="84" t="s">
        <v>314</v>
      </c>
      <c r="C44" s="84" t="s">
        <v>315</v>
      </c>
      <c r="D44" s="84" t="s">
        <v>316</v>
      </c>
      <c r="E44" s="84" t="s">
        <v>317</v>
      </c>
      <c r="F44" s="83" t="s">
        <v>318</v>
      </c>
    </row>
    <row r="45" spans="1:6" ht="126" x14ac:dyDescent="0.25">
      <c r="A45" s="42" t="s">
        <v>202</v>
      </c>
      <c r="B45" s="44" t="s">
        <v>319</v>
      </c>
      <c r="C45" s="44" t="s">
        <v>319</v>
      </c>
      <c r="D45" s="44" t="s">
        <v>320</v>
      </c>
      <c r="E45" s="44" t="s">
        <v>321</v>
      </c>
      <c r="F45" s="47" t="s">
        <v>322</v>
      </c>
    </row>
    <row r="46" spans="1:6" ht="15.75" x14ac:dyDescent="0.25">
      <c r="A46" s="178" t="s">
        <v>323</v>
      </c>
      <c r="B46" s="179"/>
      <c r="C46" s="179"/>
      <c r="D46" s="179"/>
      <c r="E46" s="179"/>
      <c r="F46" s="180"/>
    </row>
    <row r="47" spans="1:6" ht="78.75" x14ac:dyDescent="0.25">
      <c r="A47" s="49" t="s">
        <v>324</v>
      </c>
      <c r="B47" s="77" t="s">
        <v>325</v>
      </c>
      <c r="C47" s="77" t="s">
        <v>326</v>
      </c>
      <c r="D47" s="77" t="s">
        <v>327</v>
      </c>
      <c r="E47" s="77" t="s">
        <v>328</v>
      </c>
      <c r="F47" s="85" t="s">
        <v>328</v>
      </c>
    </row>
    <row r="48" spans="1:6" ht="15.75" x14ac:dyDescent="0.25">
      <c r="A48" s="49" t="s">
        <v>329</v>
      </c>
      <c r="B48" s="79"/>
      <c r="C48" s="79"/>
      <c r="D48" s="79"/>
      <c r="E48" s="79"/>
      <c r="F48" s="85"/>
    </row>
    <row r="49" spans="1:6" ht="141.75" x14ac:dyDescent="0.25">
      <c r="A49" s="49" t="s">
        <v>330</v>
      </c>
      <c r="B49" s="43" t="s">
        <v>331</v>
      </c>
      <c r="C49" s="43" t="s">
        <v>332</v>
      </c>
      <c r="D49" s="43" t="s">
        <v>333</v>
      </c>
      <c r="E49" s="43" t="s">
        <v>334</v>
      </c>
      <c r="F49" s="50" t="s">
        <v>335</v>
      </c>
    </row>
    <row r="50" spans="1:6" ht="15.75" x14ac:dyDescent="0.25">
      <c r="A50" s="49" t="s">
        <v>93</v>
      </c>
      <c r="B50" s="71" t="s">
        <v>39</v>
      </c>
      <c r="C50" s="71" t="s">
        <v>39</v>
      </c>
      <c r="D50" s="71" t="s">
        <v>336</v>
      </c>
      <c r="E50" s="71" t="s">
        <v>337</v>
      </c>
      <c r="F50" s="85" t="s">
        <v>338</v>
      </c>
    </row>
    <row r="51" spans="1:6" ht="78.75" x14ac:dyDescent="0.25">
      <c r="A51" s="49" t="s">
        <v>339</v>
      </c>
      <c r="B51" s="75">
        <v>200000</v>
      </c>
      <c r="C51" s="75">
        <v>300000</v>
      </c>
      <c r="D51" s="75">
        <v>400000</v>
      </c>
      <c r="E51" s="75">
        <v>500000</v>
      </c>
      <c r="F51" s="75">
        <v>500000</v>
      </c>
    </row>
    <row r="52" spans="1:6" ht="47.25" x14ac:dyDescent="0.25">
      <c r="A52" s="49" t="s">
        <v>340</v>
      </c>
      <c r="B52" s="71" t="s">
        <v>341</v>
      </c>
      <c r="C52" s="71" t="s">
        <v>341</v>
      </c>
      <c r="D52" s="43" t="s">
        <v>341</v>
      </c>
      <c r="E52" s="43" t="s">
        <v>342</v>
      </c>
      <c r="F52" s="50" t="s">
        <v>343</v>
      </c>
    </row>
    <row r="53" spans="1:6" ht="47.25" x14ac:dyDescent="0.25">
      <c r="A53" s="49" t="s">
        <v>344</v>
      </c>
      <c r="B53" s="71" t="s">
        <v>39</v>
      </c>
      <c r="C53" s="71" t="s">
        <v>39</v>
      </c>
      <c r="D53" s="43" t="s">
        <v>345</v>
      </c>
      <c r="E53" s="43" t="s">
        <v>346</v>
      </c>
      <c r="F53" s="50" t="s">
        <v>105</v>
      </c>
    </row>
    <row r="54" spans="1:6" ht="31.5" x14ac:dyDescent="0.25">
      <c r="A54" s="42" t="s">
        <v>347</v>
      </c>
      <c r="B54" s="72" t="s">
        <v>294</v>
      </c>
      <c r="C54" s="72" t="s">
        <v>294</v>
      </c>
      <c r="D54" s="72" t="s">
        <v>294</v>
      </c>
      <c r="E54" s="72" t="s">
        <v>294</v>
      </c>
      <c r="F54" s="85" t="s">
        <v>294</v>
      </c>
    </row>
    <row r="55" spans="1:6" ht="15.75" x14ac:dyDescent="0.25">
      <c r="A55" s="181" t="s">
        <v>108</v>
      </c>
      <c r="B55" s="182"/>
      <c r="C55" s="182"/>
      <c r="D55" s="182"/>
      <c r="E55" s="182"/>
      <c r="F55" s="183"/>
    </row>
    <row r="56" spans="1:6" ht="78.75" x14ac:dyDescent="0.25">
      <c r="A56" s="42" t="s">
        <v>110</v>
      </c>
      <c r="B56" s="44" t="s">
        <v>28</v>
      </c>
      <c r="C56" s="44" t="s">
        <v>28</v>
      </c>
      <c r="D56" s="44" t="s">
        <v>28</v>
      </c>
      <c r="E56" s="44" t="s">
        <v>28</v>
      </c>
      <c r="F56" s="50" t="s">
        <v>28</v>
      </c>
    </row>
    <row r="57" spans="1:6" ht="63" x14ac:dyDescent="0.25">
      <c r="A57" s="42" t="s">
        <v>111</v>
      </c>
      <c r="B57" s="44" t="s">
        <v>33</v>
      </c>
      <c r="C57" s="44" t="s">
        <v>33</v>
      </c>
      <c r="D57" s="44" t="s">
        <v>28</v>
      </c>
      <c r="E57" s="44" t="s">
        <v>28</v>
      </c>
      <c r="F57" s="50" t="s">
        <v>28</v>
      </c>
    </row>
    <row r="58" spans="1:6" ht="47.25" x14ac:dyDescent="0.25">
      <c r="A58" s="42" t="s">
        <v>112</v>
      </c>
      <c r="B58" s="44" t="s">
        <v>113</v>
      </c>
      <c r="C58" s="44" t="s">
        <v>113</v>
      </c>
      <c r="D58" s="44" t="s">
        <v>28</v>
      </c>
      <c r="E58" s="44" t="s">
        <v>28</v>
      </c>
      <c r="F58" s="50" t="s">
        <v>28</v>
      </c>
    </row>
    <row r="59" spans="1:6" ht="15.75" x14ac:dyDescent="0.25">
      <c r="A59" s="42" t="s">
        <v>114</v>
      </c>
      <c r="B59" s="44" t="s">
        <v>28</v>
      </c>
      <c r="C59" s="44" t="s">
        <v>28</v>
      </c>
      <c r="D59" s="44" t="s">
        <v>28</v>
      </c>
      <c r="E59" s="44" t="s">
        <v>28</v>
      </c>
      <c r="F59" s="50" t="s">
        <v>28</v>
      </c>
    </row>
    <row r="60" spans="1:6" ht="15.75" x14ac:dyDescent="0.25">
      <c r="A60" s="193" t="s">
        <v>217</v>
      </c>
      <c r="B60" s="194"/>
      <c r="C60" s="194"/>
      <c r="D60" s="194"/>
      <c r="E60" s="194"/>
      <c r="F60" s="195"/>
    </row>
    <row r="61" spans="1:6" ht="15.75" x14ac:dyDescent="0.25">
      <c r="A61" s="51" t="s">
        <v>348</v>
      </c>
      <c r="B61" s="86" t="s">
        <v>349</v>
      </c>
      <c r="C61" s="86" t="s">
        <v>349</v>
      </c>
      <c r="D61" s="86" t="s">
        <v>349</v>
      </c>
      <c r="E61" s="86" t="s">
        <v>350</v>
      </c>
      <c r="F61" s="85" t="s">
        <v>350</v>
      </c>
    </row>
    <row r="62" spans="1:6" ht="15.75" x14ac:dyDescent="0.25">
      <c r="A62" s="52" t="s">
        <v>227</v>
      </c>
      <c r="B62" s="86" t="s">
        <v>175</v>
      </c>
      <c r="C62" s="86" t="s">
        <v>175</v>
      </c>
      <c r="D62" s="86" t="s">
        <v>175</v>
      </c>
      <c r="E62" s="86" t="s">
        <v>175</v>
      </c>
      <c r="F62" s="85" t="s">
        <v>351</v>
      </c>
    </row>
    <row r="63" spans="1:6" ht="31.5" x14ac:dyDescent="0.25">
      <c r="A63" s="52" t="s">
        <v>352</v>
      </c>
      <c r="B63" s="86" t="s">
        <v>28</v>
      </c>
      <c r="C63" s="86" t="s">
        <v>28</v>
      </c>
      <c r="D63" s="86" t="s">
        <v>28</v>
      </c>
      <c r="E63" s="86" t="s">
        <v>28</v>
      </c>
      <c r="F63" s="85" t="s">
        <v>28</v>
      </c>
    </row>
    <row r="64" spans="1:6" ht="31.5" x14ac:dyDescent="0.25">
      <c r="A64" s="52" t="s">
        <v>231</v>
      </c>
      <c r="B64" s="86" t="s">
        <v>28</v>
      </c>
      <c r="C64" s="86" t="s">
        <v>28</v>
      </c>
      <c r="D64" s="86" t="s">
        <v>28</v>
      </c>
      <c r="E64" s="86" t="s">
        <v>28</v>
      </c>
      <c r="F64" s="85" t="s">
        <v>28</v>
      </c>
    </row>
    <row r="65" spans="1:6" ht="15.75" x14ac:dyDescent="0.25">
      <c r="A65" s="52" t="s">
        <v>234</v>
      </c>
      <c r="B65" s="86" t="s">
        <v>33</v>
      </c>
      <c r="C65" s="86" t="s">
        <v>33</v>
      </c>
      <c r="D65" s="86" t="s">
        <v>33</v>
      </c>
      <c r="E65" s="86" t="s">
        <v>28</v>
      </c>
      <c r="F65" s="85" t="s">
        <v>28</v>
      </c>
    </row>
    <row r="66" spans="1:6" ht="15.75" x14ac:dyDescent="0.25">
      <c r="A66" s="52" t="s">
        <v>235</v>
      </c>
      <c r="B66" s="86" t="s">
        <v>28</v>
      </c>
      <c r="C66" s="86" t="s">
        <v>28</v>
      </c>
      <c r="D66" s="86" t="s">
        <v>28</v>
      </c>
      <c r="E66" s="86" t="s">
        <v>28</v>
      </c>
      <c r="F66" s="85" t="s">
        <v>28</v>
      </c>
    </row>
    <row r="67" spans="1:6" x14ac:dyDescent="0.25">
      <c r="A67" s="53"/>
      <c r="B67" s="87"/>
      <c r="C67" s="87"/>
      <c r="D67" s="87"/>
      <c r="E67" s="87"/>
      <c r="F67" s="88"/>
    </row>
    <row r="68" spans="1:6" ht="18.75" x14ac:dyDescent="0.3">
      <c r="A68" s="98" t="s">
        <v>591</v>
      </c>
      <c r="B68" s="54">
        <v>133394.80000000002</v>
      </c>
      <c r="C68" s="54">
        <v>180620.00000000003</v>
      </c>
      <c r="D68" s="54">
        <v>288502.5</v>
      </c>
      <c r="E68" s="54">
        <v>420840.2</v>
      </c>
      <c r="F68" s="54">
        <v>807675.00000000012</v>
      </c>
    </row>
    <row r="69" spans="1:6" ht="18.75" x14ac:dyDescent="0.3">
      <c r="A69" s="98" t="s">
        <v>592</v>
      </c>
      <c r="B69" s="54">
        <f>B68*5</f>
        <v>666974.00000000012</v>
      </c>
      <c r="C69" s="54">
        <f t="shared" ref="C69:F69" si="0">C68*5</f>
        <v>903100.00000000012</v>
      </c>
      <c r="D69" s="54">
        <f t="shared" si="0"/>
        <v>1442512.5</v>
      </c>
      <c r="E69" s="54">
        <f t="shared" si="0"/>
        <v>2104201</v>
      </c>
      <c r="F69" s="54">
        <f t="shared" si="0"/>
        <v>4038375.0000000005</v>
      </c>
    </row>
    <row r="70" spans="1:6" ht="18.75" x14ac:dyDescent="0.3">
      <c r="A70" s="98" t="s">
        <v>593</v>
      </c>
      <c r="B70" s="54">
        <v>121268</v>
      </c>
      <c r="C70" s="54">
        <v>164200</v>
      </c>
      <c r="D70" s="54">
        <v>262275</v>
      </c>
      <c r="E70" s="54">
        <v>382582</v>
      </c>
      <c r="F70" s="54">
        <v>734250</v>
      </c>
    </row>
    <row r="71" spans="1:6" ht="18.75" x14ac:dyDescent="0.3">
      <c r="A71" s="98" t="s">
        <v>594</v>
      </c>
      <c r="B71" s="54">
        <f>B70*5</f>
        <v>606340</v>
      </c>
      <c r="C71" s="54">
        <f t="shared" ref="C71:F71" si="1">C70*5</f>
        <v>821000</v>
      </c>
      <c r="D71" s="54">
        <f t="shared" si="1"/>
        <v>1311375</v>
      </c>
      <c r="E71" s="54">
        <f t="shared" si="1"/>
        <v>1912910</v>
      </c>
      <c r="F71" s="54">
        <f t="shared" si="1"/>
        <v>3671250</v>
      </c>
    </row>
    <row r="72" spans="1:6" x14ac:dyDescent="0.25">
      <c r="A72" s="55" t="s">
        <v>353</v>
      </c>
      <c r="B72" s="89"/>
      <c r="C72" s="90"/>
      <c r="D72" s="90"/>
      <c r="E72" s="90"/>
      <c r="F72" s="91"/>
    </row>
    <row r="73" spans="1:6" ht="30" x14ac:dyDescent="0.25">
      <c r="A73" s="56" t="s">
        <v>354</v>
      </c>
      <c r="B73" s="154"/>
      <c r="C73" s="154"/>
      <c r="D73" s="154"/>
      <c r="E73" s="154"/>
      <c r="F73" s="154"/>
    </row>
    <row r="74" spans="1:6" ht="60.75" x14ac:dyDescent="0.3">
      <c r="A74" s="56" t="s">
        <v>355</v>
      </c>
      <c r="B74" s="92"/>
      <c r="C74" s="92"/>
      <c r="D74" s="92"/>
      <c r="E74" s="93"/>
      <c r="F74" s="57"/>
    </row>
    <row r="75" spans="1:6" ht="18.75" x14ac:dyDescent="0.3">
      <c r="A75" s="56" t="s">
        <v>356</v>
      </c>
      <c r="B75" s="58"/>
      <c r="C75" s="92"/>
      <c r="D75" s="92"/>
      <c r="E75" s="93"/>
      <c r="F75" s="57"/>
    </row>
    <row r="76" spans="1:6" ht="30" x14ac:dyDescent="0.25">
      <c r="A76" s="56" t="s">
        <v>357</v>
      </c>
      <c r="B76" s="92"/>
      <c r="C76" s="92"/>
      <c r="D76" s="92"/>
      <c r="E76" s="94"/>
      <c r="F76" s="95"/>
    </row>
    <row r="77" spans="1:6" ht="30" x14ac:dyDescent="0.25">
      <c r="A77" s="56" t="s">
        <v>358</v>
      </c>
      <c r="B77" s="92"/>
      <c r="C77" s="91"/>
      <c r="D77" s="91"/>
      <c r="E77" s="89"/>
      <c r="F77" s="91"/>
    </row>
    <row r="78" spans="1:6" x14ac:dyDescent="0.25">
      <c r="A78" s="56"/>
      <c r="B78" s="92"/>
      <c r="C78" s="91"/>
      <c r="D78" s="91"/>
      <c r="E78" s="96"/>
      <c r="F78" s="96"/>
    </row>
    <row r="79" spans="1:6" ht="21" x14ac:dyDescent="0.35">
      <c r="A79" s="59" t="s">
        <v>359</v>
      </c>
      <c r="B79" s="91"/>
      <c r="C79" s="97"/>
      <c r="D79" s="97"/>
      <c r="E79" s="96"/>
      <c r="F79" s="96"/>
    </row>
    <row r="80" spans="1:6" ht="63" x14ac:dyDescent="0.35">
      <c r="A80" s="60" t="s">
        <v>360</v>
      </c>
      <c r="B80" s="91"/>
      <c r="C80" s="97"/>
      <c r="D80" s="97"/>
      <c r="E80" s="96"/>
      <c r="F80" s="96"/>
    </row>
    <row r="81" spans="1:6" ht="42" x14ac:dyDescent="0.35">
      <c r="A81" s="60" t="s">
        <v>361</v>
      </c>
      <c r="B81" s="97"/>
      <c r="C81" s="97"/>
      <c r="D81" s="97"/>
      <c r="E81" s="96"/>
      <c r="F81" s="96"/>
    </row>
    <row r="82" spans="1:6" ht="42" x14ac:dyDescent="0.35">
      <c r="A82" s="60" t="s">
        <v>362</v>
      </c>
      <c r="B82" s="97"/>
      <c r="C82" s="97"/>
      <c r="D82" s="97"/>
      <c r="E82" s="96"/>
      <c r="F82" s="96"/>
    </row>
    <row r="83" spans="1:6" ht="126" x14ac:dyDescent="0.35">
      <c r="A83" s="60" t="s">
        <v>363</v>
      </c>
      <c r="B83" s="97"/>
      <c r="C83" s="97"/>
      <c r="D83" s="97"/>
      <c r="E83" s="96"/>
      <c r="F83" s="96"/>
    </row>
    <row r="84" spans="1:6" ht="21" x14ac:dyDescent="0.35">
      <c r="A84" s="60" t="s">
        <v>364</v>
      </c>
      <c r="B84" s="97"/>
      <c r="C84" s="97"/>
      <c r="D84" s="97"/>
      <c r="E84" s="96"/>
      <c r="F84" s="96"/>
    </row>
    <row r="85" spans="1:6" ht="42" x14ac:dyDescent="0.35">
      <c r="A85" s="60" t="s">
        <v>365</v>
      </c>
      <c r="B85" s="97"/>
      <c r="C85" s="97"/>
      <c r="D85" s="97"/>
      <c r="E85" s="96"/>
      <c r="F85" s="96"/>
    </row>
    <row r="86" spans="1:6" ht="42" x14ac:dyDescent="0.35">
      <c r="A86" s="60" t="s">
        <v>366</v>
      </c>
      <c r="B86" s="97"/>
      <c r="C86" s="97"/>
      <c r="D86" s="97"/>
      <c r="E86" s="96"/>
      <c r="F86" s="96"/>
    </row>
    <row r="87" spans="1:6" ht="42" x14ac:dyDescent="0.35">
      <c r="A87" s="60" t="s">
        <v>367</v>
      </c>
      <c r="B87" s="97"/>
      <c r="C87" s="97"/>
      <c r="D87" s="97"/>
      <c r="E87" s="96"/>
      <c r="F87" s="96"/>
    </row>
    <row r="88" spans="1:6" ht="63" x14ac:dyDescent="0.35">
      <c r="A88" s="60" t="s">
        <v>368</v>
      </c>
      <c r="B88" s="97"/>
      <c r="C88" s="97"/>
      <c r="D88" s="97"/>
      <c r="E88" s="96"/>
      <c r="F88" s="96"/>
    </row>
    <row r="89" spans="1:6" ht="42" x14ac:dyDescent="0.35">
      <c r="A89" s="60" t="s">
        <v>369</v>
      </c>
      <c r="B89" s="97"/>
      <c r="C89" s="97"/>
      <c r="D89" s="97"/>
      <c r="E89" s="96"/>
      <c r="F89" s="96"/>
    </row>
    <row r="90" spans="1:6" ht="21" x14ac:dyDescent="0.35">
      <c r="A90" s="60" t="s">
        <v>370</v>
      </c>
      <c r="B90" s="97"/>
      <c r="C90" s="97"/>
      <c r="D90" s="97"/>
      <c r="E90" s="96"/>
      <c r="F90" s="96"/>
    </row>
    <row r="91" spans="1:6" ht="84" x14ac:dyDescent="0.35">
      <c r="A91" s="60" t="s">
        <v>371</v>
      </c>
      <c r="B91" s="97"/>
      <c r="C91" s="97"/>
      <c r="D91" s="97"/>
      <c r="E91" s="96"/>
      <c r="F91" s="96"/>
    </row>
    <row r="92" spans="1:6" ht="21" x14ac:dyDescent="0.35">
      <c r="A92" s="60" t="s">
        <v>372</v>
      </c>
      <c r="B92" s="97"/>
      <c r="C92" s="97"/>
      <c r="D92" s="97"/>
      <c r="E92" s="96"/>
      <c r="F92" s="96"/>
    </row>
    <row r="93" spans="1:6" ht="21" x14ac:dyDescent="0.35">
      <c r="A93" s="60" t="s">
        <v>373</v>
      </c>
      <c r="B93" s="97"/>
      <c r="C93" s="97"/>
      <c r="D93" s="97"/>
      <c r="E93" s="96"/>
      <c r="F93" s="96"/>
    </row>
    <row r="94" spans="1:6" ht="42" x14ac:dyDescent="0.35">
      <c r="A94" s="60" t="s">
        <v>374</v>
      </c>
      <c r="B94" s="97"/>
      <c r="C94" s="97"/>
      <c r="D94" s="97"/>
      <c r="E94" s="96"/>
      <c r="F94" s="96"/>
    </row>
    <row r="95" spans="1:6" ht="42" x14ac:dyDescent="0.35">
      <c r="A95" s="60" t="s">
        <v>375</v>
      </c>
      <c r="B95" s="97"/>
      <c r="C95" s="97"/>
      <c r="D95" s="97"/>
      <c r="E95" s="96"/>
      <c r="F95" s="96"/>
    </row>
    <row r="96" spans="1:6" ht="21" x14ac:dyDescent="0.35">
      <c r="A96" s="60" t="s">
        <v>376</v>
      </c>
      <c r="B96" s="97"/>
      <c r="C96" s="97"/>
      <c r="D96" s="97"/>
      <c r="E96" s="96"/>
      <c r="F96" s="96"/>
    </row>
    <row r="97" spans="1:6" ht="63" x14ac:dyDescent="0.35">
      <c r="A97" s="60" t="s">
        <v>377</v>
      </c>
      <c r="B97" s="97"/>
      <c r="C97" s="97"/>
      <c r="D97" s="97"/>
      <c r="E97" s="96"/>
      <c r="F97" s="96"/>
    </row>
    <row r="98" spans="1:6" ht="21" x14ac:dyDescent="0.35">
      <c r="A98" s="60" t="s">
        <v>378</v>
      </c>
      <c r="B98" s="97"/>
      <c r="C98" s="97"/>
      <c r="D98" s="97"/>
      <c r="E98" s="96"/>
      <c r="F98" s="96"/>
    </row>
    <row r="99" spans="1:6" ht="21" x14ac:dyDescent="0.35">
      <c r="A99" s="60" t="s">
        <v>379</v>
      </c>
      <c r="B99" s="97"/>
      <c r="C99" s="97"/>
      <c r="D99" s="97"/>
      <c r="E99" s="96"/>
      <c r="F99" s="96"/>
    </row>
    <row r="100" spans="1:6" ht="42" x14ac:dyDescent="0.35">
      <c r="A100" s="60" t="s">
        <v>369</v>
      </c>
      <c r="B100" s="97"/>
      <c r="C100" s="97"/>
      <c r="D100" s="97"/>
      <c r="E100" s="96"/>
      <c r="F100" s="96"/>
    </row>
    <row r="101" spans="1:6" ht="63" x14ac:dyDescent="0.35">
      <c r="A101" s="60" t="s">
        <v>380</v>
      </c>
      <c r="B101" s="97"/>
      <c r="C101" s="97"/>
      <c r="D101" s="97"/>
      <c r="E101" s="96"/>
      <c r="F101" s="96"/>
    </row>
    <row r="102" spans="1:6" ht="63" x14ac:dyDescent="0.35">
      <c r="A102" s="60" t="s">
        <v>381</v>
      </c>
      <c r="B102" s="97"/>
      <c r="C102" s="97"/>
      <c r="D102" s="97"/>
      <c r="E102" s="96"/>
      <c r="F102" s="96"/>
    </row>
    <row r="103" spans="1:6" ht="42" x14ac:dyDescent="0.35">
      <c r="A103" s="60" t="s">
        <v>382</v>
      </c>
      <c r="B103" s="97"/>
      <c r="C103" s="97"/>
      <c r="D103" s="97"/>
      <c r="E103" s="96"/>
      <c r="F103" s="96"/>
    </row>
    <row r="104" spans="1:6" ht="21" x14ac:dyDescent="0.35">
      <c r="A104" s="60" t="s">
        <v>383</v>
      </c>
      <c r="B104" s="97"/>
      <c r="C104" s="97"/>
      <c r="D104" s="97"/>
      <c r="E104" s="96"/>
      <c r="F104" s="96"/>
    </row>
    <row r="105" spans="1:6" ht="21" x14ac:dyDescent="0.35">
      <c r="A105" s="60" t="s">
        <v>384</v>
      </c>
      <c r="B105" s="97"/>
      <c r="C105" s="97"/>
      <c r="D105" s="97"/>
      <c r="E105" s="96"/>
      <c r="F105" s="96"/>
    </row>
    <row r="106" spans="1:6" ht="21" x14ac:dyDescent="0.35">
      <c r="A106" s="60" t="s">
        <v>385</v>
      </c>
      <c r="B106" s="97"/>
      <c r="C106" s="89"/>
      <c r="D106" s="89"/>
      <c r="E106" s="89"/>
      <c r="F106" s="91"/>
    </row>
    <row r="107" spans="1:6" ht="63" x14ac:dyDescent="0.35">
      <c r="A107" s="60" t="s">
        <v>386</v>
      </c>
      <c r="B107" s="97"/>
      <c r="C107" s="89"/>
      <c r="D107" s="89"/>
      <c r="E107" s="89"/>
      <c r="F107" s="91"/>
    </row>
  </sheetData>
  <mergeCells count="20">
    <mergeCell ref="A60:F60"/>
    <mergeCell ref="B34:B35"/>
    <mergeCell ref="C34:C35"/>
    <mergeCell ref="F16:F17"/>
    <mergeCell ref="A18:F18"/>
    <mergeCell ref="A23:F23"/>
    <mergeCell ref="A27:F27"/>
    <mergeCell ref="A30:F30"/>
    <mergeCell ref="B16:B17"/>
    <mergeCell ref="C16:C17"/>
    <mergeCell ref="D16:D17"/>
    <mergeCell ref="E16:E17"/>
    <mergeCell ref="A33:F33"/>
    <mergeCell ref="A38:F38"/>
    <mergeCell ref="A41:F41"/>
    <mergeCell ref="A46:F46"/>
    <mergeCell ref="A55:F55"/>
    <mergeCell ref="A6:F6"/>
    <mergeCell ref="A12:F12"/>
    <mergeCell ref="A15: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9395D-A004-4E68-AA97-BC12652DCB82}">
  <dimension ref="A1:G42"/>
  <sheetViews>
    <sheetView workbookViewId="0">
      <selection activeCell="B3" sqref="B3:E4"/>
    </sheetView>
  </sheetViews>
  <sheetFormatPr defaultColWidth="50.28515625" defaultRowHeight="18.75" x14ac:dyDescent="0.3"/>
  <cols>
    <col min="1" max="1" width="50.28515625" style="135"/>
    <col min="2" max="3" width="50" style="106" bestFit="1" customWidth="1"/>
    <col min="4" max="16384" width="50.28515625" style="106"/>
  </cols>
  <sheetData>
    <row r="1" spans="1:7" s="102" customFormat="1" x14ac:dyDescent="0.3">
      <c r="A1" s="100"/>
      <c r="B1" s="101" t="s">
        <v>387</v>
      </c>
      <c r="C1" s="101" t="s">
        <v>388</v>
      </c>
      <c r="D1" s="101" t="s">
        <v>389</v>
      </c>
      <c r="E1" s="101" t="s">
        <v>390</v>
      </c>
    </row>
    <row r="2" spans="1:7" x14ac:dyDescent="0.3">
      <c r="A2" s="103" t="s">
        <v>391</v>
      </c>
      <c r="B2" s="104" t="s">
        <v>392</v>
      </c>
      <c r="C2" s="105" t="s">
        <v>393</v>
      </c>
      <c r="D2" s="105" t="s">
        <v>394</v>
      </c>
      <c r="E2" s="105" t="s">
        <v>395</v>
      </c>
      <c r="G2" s="107"/>
    </row>
    <row r="3" spans="1:7" x14ac:dyDescent="0.3">
      <c r="A3" s="108" t="s">
        <v>396</v>
      </c>
      <c r="B3" s="54">
        <v>575603.04375000007</v>
      </c>
      <c r="C3" s="108">
        <v>872361.16875000007</v>
      </c>
      <c r="D3" s="54">
        <v>1255828.5075000001</v>
      </c>
      <c r="E3" s="108">
        <v>1550768.2575000001</v>
      </c>
      <c r="F3" s="109"/>
    </row>
    <row r="4" spans="1:7" x14ac:dyDescent="0.3">
      <c r="A4" s="108" t="s">
        <v>397</v>
      </c>
      <c r="B4" s="54">
        <v>611318.50031249993</v>
      </c>
      <c r="C4" s="108">
        <v>944152.84406249993</v>
      </c>
      <c r="D4" s="54">
        <v>1365452.7836249999</v>
      </c>
      <c r="E4" s="108">
        <v>1688883.4961250001</v>
      </c>
      <c r="F4" s="109"/>
    </row>
    <row r="5" spans="1:7" ht="19.5" thickBot="1" x14ac:dyDescent="0.35">
      <c r="A5" s="110" t="s">
        <v>398</v>
      </c>
      <c r="B5" s="111" t="s">
        <v>399</v>
      </c>
      <c r="C5" s="112" t="s">
        <v>399</v>
      </c>
      <c r="D5" s="112" t="s">
        <v>399</v>
      </c>
      <c r="E5" s="112" t="s">
        <v>399</v>
      </c>
      <c r="G5" s="113"/>
    </row>
    <row r="6" spans="1:7" ht="20.25" thickTop="1" thickBot="1" x14ac:dyDescent="0.35">
      <c r="A6" s="110" t="s">
        <v>400</v>
      </c>
      <c r="B6" s="111" t="s">
        <v>9</v>
      </c>
      <c r="C6" s="112" t="s">
        <v>401</v>
      </c>
      <c r="D6" s="112" t="s">
        <v>402</v>
      </c>
      <c r="E6" s="112" t="s">
        <v>402</v>
      </c>
    </row>
    <row r="7" spans="1:7" ht="20.25" thickTop="1" thickBot="1" x14ac:dyDescent="0.35">
      <c r="A7" s="110" t="s">
        <v>403</v>
      </c>
      <c r="B7" s="114">
        <v>500000</v>
      </c>
      <c r="C7" s="115">
        <v>650000</v>
      </c>
      <c r="D7" s="115">
        <v>1500000</v>
      </c>
      <c r="E7" s="115">
        <v>2000000</v>
      </c>
    </row>
    <row r="8" spans="1:7" ht="20.25" thickTop="1" thickBot="1" x14ac:dyDescent="0.35">
      <c r="A8" s="110" t="s">
        <v>404</v>
      </c>
      <c r="B8" s="114">
        <v>250000</v>
      </c>
      <c r="C8" s="115">
        <v>350000</v>
      </c>
      <c r="D8" s="115">
        <v>500000</v>
      </c>
      <c r="E8" s="115">
        <v>1000000</v>
      </c>
    </row>
    <row r="9" spans="1:7" ht="20.25" thickTop="1" thickBot="1" x14ac:dyDescent="0.35">
      <c r="A9" s="116" t="s">
        <v>405</v>
      </c>
      <c r="B9" s="117"/>
      <c r="C9" s="118"/>
      <c r="D9" s="118"/>
      <c r="E9" s="118"/>
    </row>
    <row r="10" spans="1:7" ht="20.25" thickTop="1" thickBot="1" x14ac:dyDescent="0.35">
      <c r="A10" s="119" t="s">
        <v>406</v>
      </c>
      <c r="B10" s="117" t="s">
        <v>21</v>
      </c>
      <c r="C10" s="118" t="s">
        <v>21</v>
      </c>
      <c r="D10" s="118" t="s">
        <v>21</v>
      </c>
      <c r="E10" s="118" t="s">
        <v>21</v>
      </c>
      <c r="F10" s="107"/>
    </row>
    <row r="11" spans="1:7" ht="38.25" thickTop="1" x14ac:dyDescent="0.3">
      <c r="A11" s="120" t="s">
        <v>407</v>
      </c>
      <c r="B11" s="121" t="s">
        <v>408</v>
      </c>
      <c r="C11" s="122" t="s">
        <v>409</v>
      </c>
      <c r="D11" s="122" t="s">
        <v>410</v>
      </c>
      <c r="E11" s="122" t="s">
        <v>411</v>
      </c>
    </row>
    <row r="12" spans="1:7" ht="19.5" thickBot="1" x14ac:dyDescent="0.35">
      <c r="A12" s="119" t="s">
        <v>412</v>
      </c>
      <c r="B12" s="117" t="s">
        <v>413</v>
      </c>
      <c r="C12" s="117" t="s">
        <v>413</v>
      </c>
      <c r="D12" s="117" t="s">
        <v>413</v>
      </c>
      <c r="E12" s="117" t="s">
        <v>413</v>
      </c>
      <c r="F12" s="107"/>
    </row>
    <row r="13" spans="1:7" ht="20.25" thickTop="1" thickBot="1" x14ac:dyDescent="0.35">
      <c r="A13" s="119" t="s">
        <v>414</v>
      </c>
      <c r="B13" s="117" t="s">
        <v>21</v>
      </c>
      <c r="C13" s="118" t="s">
        <v>21</v>
      </c>
      <c r="D13" s="118" t="s">
        <v>21</v>
      </c>
      <c r="E13" s="118" t="s">
        <v>21</v>
      </c>
      <c r="F13" s="107"/>
    </row>
    <row r="14" spans="1:7" ht="57.75" thickTop="1" thickBot="1" x14ac:dyDescent="0.35">
      <c r="A14" s="119" t="s">
        <v>415</v>
      </c>
      <c r="B14" s="117" t="s">
        <v>413</v>
      </c>
      <c r="C14" s="117" t="s">
        <v>413</v>
      </c>
      <c r="D14" s="117" t="s">
        <v>413</v>
      </c>
      <c r="E14" s="117" t="s">
        <v>413</v>
      </c>
      <c r="F14" s="107"/>
    </row>
    <row r="15" spans="1:7" ht="57" thickTop="1" x14ac:dyDescent="0.3">
      <c r="A15" s="120" t="s">
        <v>416</v>
      </c>
      <c r="B15" s="223" t="s">
        <v>28</v>
      </c>
      <c r="C15" s="219" t="s">
        <v>28</v>
      </c>
      <c r="D15" s="219" t="s">
        <v>28</v>
      </c>
      <c r="E15" s="219" t="s">
        <v>28</v>
      </c>
      <c r="F15" s="107"/>
    </row>
    <row r="16" spans="1:7" ht="113.25" thickBot="1" x14ac:dyDescent="0.35">
      <c r="A16" s="110" t="s">
        <v>417</v>
      </c>
      <c r="B16" s="224"/>
      <c r="C16" s="220"/>
      <c r="D16" s="220"/>
      <c r="E16" s="220"/>
      <c r="F16" s="107"/>
    </row>
    <row r="17" spans="1:6" ht="19.5" thickTop="1" x14ac:dyDescent="0.3">
      <c r="A17" s="123"/>
      <c r="B17" s="225" t="s">
        <v>413</v>
      </c>
      <c r="C17" s="225" t="s">
        <v>413</v>
      </c>
      <c r="D17" s="225" t="s">
        <v>413</v>
      </c>
      <c r="E17" s="225" t="s">
        <v>413</v>
      </c>
    </row>
    <row r="18" spans="1:6" ht="75.75" thickBot="1" x14ac:dyDescent="0.35">
      <c r="A18" s="119" t="s">
        <v>418</v>
      </c>
      <c r="B18" s="226"/>
      <c r="C18" s="226"/>
      <c r="D18" s="226"/>
      <c r="E18" s="226"/>
      <c r="F18" s="107"/>
    </row>
    <row r="19" spans="1:6" ht="57.75" thickTop="1" thickBot="1" x14ac:dyDescent="0.35">
      <c r="A19" s="119" t="s">
        <v>419</v>
      </c>
      <c r="B19" s="124" t="s">
        <v>420</v>
      </c>
      <c r="C19" s="103" t="s">
        <v>421</v>
      </c>
      <c r="D19" s="103" t="s">
        <v>422</v>
      </c>
      <c r="E19" s="103" t="s">
        <v>423</v>
      </c>
      <c r="F19" s="113"/>
    </row>
    <row r="20" spans="1:6" ht="20.25" thickTop="1" thickBot="1" x14ac:dyDescent="0.35">
      <c r="A20" s="119" t="s">
        <v>424</v>
      </c>
      <c r="B20" s="117" t="s">
        <v>28</v>
      </c>
      <c r="C20" s="118" t="s">
        <v>28</v>
      </c>
      <c r="D20" s="118" t="s">
        <v>28</v>
      </c>
      <c r="E20" s="118" t="s">
        <v>28</v>
      </c>
      <c r="F20" s="107"/>
    </row>
    <row r="21" spans="1:6" ht="57.75" thickTop="1" thickBot="1" x14ac:dyDescent="0.35">
      <c r="A21" s="119" t="s">
        <v>425</v>
      </c>
      <c r="B21" s="117" t="s">
        <v>28</v>
      </c>
      <c r="C21" s="118" t="s">
        <v>28</v>
      </c>
      <c r="D21" s="118" t="s">
        <v>28</v>
      </c>
      <c r="E21" s="118" t="s">
        <v>28</v>
      </c>
      <c r="F21" s="107"/>
    </row>
    <row r="22" spans="1:6" ht="39" thickTop="1" thickBot="1" x14ac:dyDescent="0.35">
      <c r="A22" s="119" t="s">
        <v>426</v>
      </c>
      <c r="B22" s="125">
        <v>10000</v>
      </c>
      <c r="C22" s="126">
        <v>25000</v>
      </c>
      <c r="D22" s="126">
        <v>35000</v>
      </c>
      <c r="E22" s="126">
        <v>45000</v>
      </c>
      <c r="F22" s="127"/>
    </row>
    <row r="23" spans="1:6" ht="20.25" thickTop="1" thickBot="1" x14ac:dyDescent="0.35">
      <c r="A23" s="119" t="s">
        <v>427</v>
      </c>
      <c r="B23" s="125">
        <v>20000</v>
      </c>
      <c r="C23" s="126">
        <v>30000</v>
      </c>
      <c r="D23" s="126">
        <v>40000</v>
      </c>
      <c r="E23" s="126">
        <v>50000</v>
      </c>
      <c r="F23" s="113"/>
    </row>
    <row r="24" spans="1:6" ht="20.25" thickTop="1" thickBot="1" x14ac:dyDescent="0.35">
      <c r="A24" s="128" t="s">
        <v>428</v>
      </c>
      <c r="B24" s="129" t="s">
        <v>94</v>
      </c>
      <c r="C24" s="130">
        <v>10000</v>
      </c>
      <c r="D24" s="130">
        <v>30000</v>
      </c>
      <c r="E24" s="130">
        <v>50000</v>
      </c>
    </row>
    <row r="25" spans="1:6" ht="20.25" thickTop="1" thickBot="1" x14ac:dyDescent="0.35">
      <c r="A25" s="116" t="s">
        <v>429</v>
      </c>
      <c r="B25" s="117"/>
      <c r="C25" s="118"/>
      <c r="D25" s="118"/>
      <c r="E25" s="118"/>
    </row>
    <row r="26" spans="1:6" ht="19.5" thickTop="1" x14ac:dyDescent="0.3">
      <c r="A26" s="217" t="s">
        <v>430</v>
      </c>
      <c r="B26" s="131" t="s">
        <v>431</v>
      </c>
      <c r="C26" s="132" t="s">
        <v>431</v>
      </c>
      <c r="D26" s="219" t="s">
        <v>432</v>
      </c>
      <c r="E26" s="219" t="s">
        <v>433</v>
      </c>
    </row>
    <row r="27" spans="1:6" ht="19.5" thickBot="1" x14ac:dyDescent="0.35">
      <c r="A27" s="218"/>
      <c r="B27" s="117" t="s">
        <v>434</v>
      </c>
      <c r="C27" s="118" t="s">
        <v>434</v>
      </c>
      <c r="D27" s="220"/>
      <c r="E27" s="220"/>
    </row>
    <row r="28" spans="1:6" ht="76.5" thickTop="1" thickBot="1" x14ac:dyDescent="0.35">
      <c r="A28" s="119" t="s">
        <v>435</v>
      </c>
      <c r="B28" s="117" t="s">
        <v>436</v>
      </c>
      <c r="C28" s="118" t="s">
        <v>437</v>
      </c>
      <c r="D28" s="118" t="s">
        <v>438</v>
      </c>
      <c r="E28" s="118" t="s">
        <v>439</v>
      </c>
    </row>
    <row r="29" spans="1:6" ht="20.25" thickTop="1" thickBot="1" x14ac:dyDescent="0.35">
      <c r="A29" s="119" t="s">
        <v>440</v>
      </c>
      <c r="B29" s="125">
        <v>100000</v>
      </c>
      <c r="C29" s="126">
        <v>200000</v>
      </c>
      <c r="D29" s="126">
        <v>300000</v>
      </c>
      <c r="E29" s="126">
        <v>500000</v>
      </c>
      <c r="F29" s="107"/>
    </row>
    <row r="30" spans="1:6" ht="39" thickTop="1" thickBot="1" x14ac:dyDescent="0.35">
      <c r="A30" s="119" t="s">
        <v>441</v>
      </c>
      <c r="B30" s="133">
        <v>100000</v>
      </c>
      <c r="C30" s="134">
        <v>150000</v>
      </c>
      <c r="D30" s="134">
        <v>200000</v>
      </c>
      <c r="E30" s="134">
        <v>300000</v>
      </c>
      <c r="F30" s="113"/>
    </row>
    <row r="31" spans="1:6" ht="39" thickTop="1" thickBot="1" x14ac:dyDescent="0.35">
      <c r="A31" s="119" t="s">
        <v>442</v>
      </c>
      <c r="B31" s="117" t="s">
        <v>436</v>
      </c>
      <c r="C31" s="118" t="s">
        <v>437</v>
      </c>
      <c r="D31" s="118" t="s">
        <v>438</v>
      </c>
      <c r="E31" s="118" t="s">
        <v>439</v>
      </c>
      <c r="F31" s="113"/>
    </row>
    <row r="32" spans="1:6" ht="20.25" thickTop="1" thickBot="1" x14ac:dyDescent="0.35">
      <c r="A32" s="119" t="s">
        <v>443</v>
      </c>
      <c r="B32" s="117" t="s">
        <v>28</v>
      </c>
      <c r="C32" s="118" t="s">
        <v>28</v>
      </c>
      <c r="D32" s="118" t="s">
        <v>28</v>
      </c>
      <c r="E32" s="118" t="s">
        <v>28</v>
      </c>
      <c r="F32" s="107"/>
    </row>
    <row r="33" spans="1:6" ht="20.25" thickTop="1" thickBot="1" x14ac:dyDescent="0.35">
      <c r="A33" s="119" t="s">
        <v>444</v>
      </c>
      <c r="B33" s="117" t="s">
        <v>445</v>
      </c>
      <c r="C33" s="118" t="s">
        <v>446</v>
      </c>
      <c r="D33" s="118" t="s">
        <v>447</v>
      </c>
      <c r="E33" s="118" t="s">
        <v>448</v>
      </c>
      <c r="F33" s="107"/>
    </row>
    <row r="34" spans="1:6" ht="19.5" thickTop="1" x14ac:dyDescent="0.3">
      <c r="A34" s="221" t="s">
        <v>449</v>
      </c>
      <c r="B34" s="223" t="s">
        <v>94</v>
      </c>
      <c r="C34" s="219" t="s">
        <v>450</v>
      </c>
      <c r="D34" s="219" t="s">
        <v>450</v>
      </c>
      <c r="E34" s="219" t="s">
        <v>450</v>
      </c>
      <c r="F34" s="107"/>
    </row>
    <row r="35" spans="1:6" ht="19.5" thickBot="1" x14ac:dyDescent="0.35">
      <c r="A35" s="222"/>
      <c r="B35" s="224"/>
      <c r="C35" s="220"/>
      <c r="D35" s="220"/>
      <c r="E35" s="220"/>
    </row>
    <row r="36" spans="1:6" ht="20.25" thickTop="1" thickBot="1" x14ac:dyDescent="0.35">
      <c r="A36" s="119" t="s">
        <v>451</v>
      </c>
      <c r="B36" s="117" t="s">
        <v>94</v>
      </c>
      <c r="C36" s="118" t="s">
        <v>94</v>
      </c>
      <c r="D36" s="118" t="s">
        <v>452</v>
      </c>
      <c r="E36" s="118" t="s">
        <v>452</v>
      </c>
    </row>
    <row r="37" spans="1:6" ht="57.75" thickTop="1" thickBot="1" x14ac:dyDescent="0.35">
      <c r="A37" s="119" t="s">
        <v>453</v>
      </c>
      <c r="B37" s="118" t="s">
        <v>454</v>
      </c>
      <c r="C37" s="118" t="s">
        <v>455</v>
      </c>
      <c r="D37" s="118" t="s">
        <v>456</v>
      </c>
      <c r="E37" s="118" t="s">
        <v>457</v>
      </c>
    </row>
    <row r="38" spans="1:6" ht="20.25" thickTop="1" thickBot="1" x14ac:dyDescent="0.35">
      <c r="A38" s="119" t="s">
        <v>458</v>
      </c>
      <c r="B38" s="117" t="s">
        <v>459</v>
      </c>
      <c r="C38" s="118" t="s">
        <v>460</v>
      </c>
      <c r="D38" s="118" t="s">
        <v>461</v>
      </c>
      <c r="E38" s="118" t="s">
        <v>462</v>
      </c>
    </row>
    <row r="39" spans="1:6" ht="19.5" thickTop="1" x14ac:dyDescent="0.3"/>
    <row r="40" spans="1:6" x14ac:dyDescent="0.3">
      <c r="A40" s="135" t="s">
        <v>463</v>
      </c>
    </row>
    <row r="41" spans="1:6" ht="37.5" x14ac:dyDescent="0.3">
      <c r="A41" s="135" t="s">
        <v>464</v>
      </c>
    </row>
    <row r="42" spans="1:6" ht="37.5" x14ac:dyDescent="0.3">
      <c r="A42" s="135" t="s">
        <v>465</v>
      </c>
    </row>
  </sheetData>
  <mergeCells count="16">
    <mergeCell ref="B15:B16"/>
    <mergeCell ref="C15:C16"/>
    <mergeCell ref="D15:D16"/>
    <mergeCell ref="E15:E16"/>
    <mergeCell ref="B17:B18"/>
    <mergeCell ref="C17:C18"/>
    <mergeCell ref="D17:D18"/>
    <mergeCell ref="E17:E18"/>
    <mergeCell ref="A26:A27"/>
    <mergeCell ref="D26:D27"/>
    <mergeCell ref="E26:E27"/>
    <mergeCell ref="A34:A35"/>
    <mergeCell ref="B34:B35"/>
    <mergeCell ref="C34:C35"/>
    <mergeCell ref="D34:D35"/>
    <mergeCell ref="E34:E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20C91-DFA5-438B-9CCD-25D42A49EAED}">
  <dimension ref="A1:L77"/>
  <sheetViews>
    <sheetView workbookViewId="0">
      <selection activeCell="F12" sqref="F12"/>
    </sheetView>
  </sheetViews>
  <sheetFormatPr defaultColWidth="8.7109375" defaultRowHeight="18.75" x14ac:dyDescent="0.3"/>
  <cols>
    <col min="1" max="1" width="59" style="30" customWidth="1"/>
    <col min="2" max="6" width="30.5703125" style="30" customWidth="1"/>
    <col min="7" max="16384" width="8.7109375" style="9"/>
  </cols>
  <sheetData>
    <row r="1" spans="1:6" ht="19.5" thickBot="1" x14ac:dyDescent="0.35">
      <c r="A1" s="136" t="s">
        <v>466</v>
      </c>
      <c r="B1" s="136" t="s">
        <v>467</v>
      </c>
      <c r="C1" s="136" t="s">
        <v>468</v>
      </c>
      <c r="D1" s="136" t="s">
        <v>469</v>
      </c>
      <c r="E1" s="136" t="s">
        <v>470</v>
      </c>
      <c r="F1" s="136" t="s">
        <v>471</v>
      </c>
    </row>
    <row r="2" spans="1:6" ht="19.5" thickBot="1" x14ac:dyDescent="0.35">
      <c r="A2" s="137" t="s">
        <v>398</v>
      </c>
      <c r="B2" s="138" t="s">
        <v>399</v>
      </c>
      <c r="C2" s="138" t="s">
        <v>399</v>
      </c>
      <c r="D2" s="138" t="s">
        <v>472</v>
      </c>
      <c r="E2" s="138" t="s">
        <v>473</v>
      </c>
      <c r="F2" s="138" t="s">
        <v>473</v>
      </c>
    </row>
    <row r="3" spans="1:6" ht="38.25" thickBot="1" x14ac:dyDescent="0.35">
      <c r="A3" s="139" t="s">
        <v>474</v>
      </c>
      <c r="B3" s="138" t="s">
        <v>475</v>
      </c>
      <c r="C3" s="138" t="s">
        <v>475</v>
      </c>
      <c r="D3" s="138" t="s">
        <v>476</v>
      </c>
      <c r="E3" s="138" t="s">
        <v>477</v>
      </c>
      <c r="F3" s="138" t="s">
        <v>477</v>
      </c>
    </row>
    <row r="4" spans="1:6" s="140" customFormat="1" ht="19.5" thickBot="1" x14ac:dyDescent="0.3">
      <c r="A4" s="227" t="s">
        <v>478</v>
      </c>
      <c r="B4" s="228"/>
      <c r="C4" s="228"/>
      <c r="D4" s="228"/>
      <c r="E4" s="228"/>
      <c r="F4" s="229"/>
    </row>
    <row r="5" spans="1:6" s="140" customFormat="1" ht="38.25" thickBot="1" x14ac:dyDescent="0.35">
      <c r="A5" s="139" t="s">
        <v>479</v>
      </c>
      <c r="B5" s="139" t="s">
        <v>28</v>
      </c>
      <c r="C5" s="139" t="s">
        <v>28</v>
      </c>
      <c r="D5" s="139" t="s">
        <v>28</v>
      </c>
      <c r="E5" s="139" t="s">
        <v>28</v>
      </c>
      <c r="F5" s="139" t="s">
        <v>28</v>
      </c>
    </row>
    <row r="6" spans="1:6" s="140" customFormat="1" ht="38.25" thickBot="1" x14ac:dyDescent="0.35">
      <c r="A6" s="139" t="s">
        <v>480</v>
      </c>
      <c r="B6" s="139" t="s">
        <v>28</v>
      </c>
      <c r="C6" s="139" t="s">
        <v>28</v>
      </c>
      <c r="D6" s="139" t="s">
        <v>28</v>
      </c>
      <c r="E6" s="139" t="s">
        <v>28</v>
      </c>
      <c r="F6" s="139" t="s">
        <v>28</v>
      </c>
    </row>
    <row r="7" spans="1:6" s="140" customFormat="1" ht="38.25" thickBot="1" x14ac:dyDescent="0.35">
      <c r="A7" s="139" t="s">
        <v>481</v>
      </c>
      <c r="B7" s="139" t="s">
        <v>28</v>
      </c>
      <c r="C7" s="139" t="s">
        <v>28</v>
      </c>
      <c r="D7" s="139" t="s">
        <v>28</v>
      </c>
      <c r="E7" s="139" t="s">
        <v>28</v>
      </c>
      <c r="F7" s="139" t="s">
        <v>28</v>
      </c>
    </row>
    <row r="8" spans="1:6" ht="19.5" thickBot="1" x14ac:dyDescent="0.35">
      <c r="A8" s="227" t="s">
        <v>482</v>
      </c>
      <c r="B8" s="228"/>
      <c r="C8" s="228"/>
      <c r="D8" s="228"/>
      <c r="E8" s="228"/>
      <c r="F8" s="229"/>
    </row>
    <row r="9" spans="1:6" ht="19.5" thickBot="1" x14ac:dyDescent="0.35">
      <c r="A9" s="137" t="s">
        <v>483</v>
      </c>
      <c r="B9" s="137" t="s">
        <v>484</v>
      </c>
      <c r="C9" s="137" t="s">
        <v>246</v>
      </c>
      <c r="D9" s="137" t="s">
        <v>485</v>
      </c>
      <c r="E9" s="137" t="s">
        <v>486</v>
      </c>
      <c r="F9" s="137" t="s">
        <v>589</v>
      </c>
    </row>
    <row r="10" spans="1:6" ht="38.25" thickBot="1" x14ac:dyDescent="0.35">
      <c r="A10" s="139" t="s">
        <v>487</v>
      </c>
      <c r="B10" s="139" t="s">
        <v>488</v>
      </c>
      <c r="C10" s="139" t="s">
        <v>488</v>
      </c>
      <c r="D10" s="139" t="s">
        <v>488</v>
      </c>
      <c r="E10" s="139" t="s">
        <v>488</v>
      </c>
      <c r="F10" s="139" t="s">
        <v>488</v>
      </c>
    </row>
    <row r="11" spans="1:6" ht="38.25" thickBot="1" x14ac:dyDescent="0.35">
      <c r="A11" s="139" t="s">
        <v>489</v>
      </c>
      <c r="B11" s="139" t="s">
        <v>488</v>
      </c>
      <c r="C11" s="139" t="s">
        <v>488</v>
      </c>
      <c r="D11" s="139" t="s">
        <v>488</v>
      </c>
      <c r="E11" s="139" t="s">
        <v>488</v>
      </c>
      <c r="F11" s="139" t="s">
        <v>488</v>
      </c>
    </row>
    <row r="12" spans="1:6" ht="57" thickBot="1" x14ac:dyDescent="0.35">
      <c r="A12" s="139" t="s">
        <v>490</v>
      </c>
      <c r="B12" s="139" t="s">
        <v>488</v>
      </c>
      <c r="C12" s="139" t="s">
        <v>488</v>
      </c>
      <c r="D12" s="139" t="s">
        <v>488</v>
      </c>
      <c r="E12" s="139" t="s">
        <v>488</v>
      </c>
      <c r="F12" s="139" t="s">
        <v>488</v>
      </c>
    </row>
    <row r="13" spans="1:6" ht="38.25" thickBot="1" x14ac:dyDescent="0.35">
      <c r="A13" s="139" t="s">
        <v>491</v>
      </c>
      <c r="B13" s="139" t="s">
        <v>488</v>
      </c>
      <c r="C13" s="139" t="s">
        <v>488</v>
      </c>
      <c r="D13" s="139" t="s">
        <v>488</v>
      </c>
      <c r="E13" s="139" t="s">
        <v>488</v>
      </c>
      <c r="F13" s="139" t="s">
        <v>488</v>
      </c>
    </row>
    <row r="14" spans="1:6" ht="38.25" thickBot="1" x14ac:dyDescent="0.35">
      <c r="A14" s="139" t="s">
        <v>492</v>
      </c>
      <c r="B14" s="139" t="s">
        <v>488</v>
      </c>
      <c r="C14" s="139" t="s">
        <v>488</v>
      </c>
      <c r="D14" s="139" t="s">
        <v>488</v>
      </c>
      <c r="E14" s="139" t="s">
        <v>488</v>
      </c>
      <c r="F14" s="139" t="s">
        <v>488</v>
      </c>
    </row>
    <row r="15" spans="1:6" ht="19.5" thickBot="1" x14ac:dyDescent="0.35">
      <c r="A15" s="139" t="s">
        <v>493</v>
      </c>
      <c r="B15" s="137" t="s">
        <v>494</v>
      </c>
      <c r="C15" s="137" t="s">
        <v>495</v>
      </c>
      <c r="D15" s="137" t="s">
        <v>496</v>
      </c>
      <c r="E15" s="137" t="s">
        <v>484</v>
      </c>
      <c r="F15" s="137" t="s">
        <v>485</v>
      </c>
    </row>
    <row r="16" spans="1:6" ht="38.25" thickBot="1" x14ac:dyDescent="0.35">
      <c r="A16" s="139" t="s">
        <v>498</v>
      </c>
      <c r="B16" s="138" t="s">
        <v>499</v>
      </c>
      <c r="C16" s="138" t="s">
        <v>499</v>
      </c>
      <c r="D16" s="138" t="s">
        <v>499</v>
      </c>
      <c r="E16" s="139" t="s">
        <v>488</v>
      </c>
      <c r="F16" s="139" t="s">
        <v>488</v>
      </c>
    </row>
    <row r="17" spans="1:6" ht="19.5" thickBot="1" x14ac:dyDescent="0.35">
      <c r="A17" s="227" t="s">
        <v>500</v>
      </c>
      <c r="B17" s="228"/>
      <c r="C17" s="228"/>
      <c r="D17" s="228"/>
      <c r="E17" s="228"/>
      <c r="F17" s="229"/>
    </row>
    <row r="18" spans="1:6" ht="19.5" thickBot="1" x14ac:dyDescent="0.35">
      <c r="A18" s="137" t="s">
        <v>501</v>
      </c>
      <c r="B18" s="137" t="s">
        <v>502</v>
      </c>
      <c r="C18" s="137" t="s">
        <v>486</v>
      </c>
      <c r="D18" s="137" t="s">
        <v>503</v>
      </c>
      <c r="E18" s="137" t="s">
        <v>504</v>
      </c>
      <c r="F18" s="137" t="s">
        <v>590</v>
      </c>
    </row>
    <row r="19" spans="1:6" ht="19.5" thickBot="1" x14ac:dyDescent="0.35">
      <c r="A19" s="139" t="s">
        <v>505</v>
      </c>
      <c r="B19" s="139" t="s">
        <v>506</v>
      </c>
      <c r="C19" s="139" t="s">
        <v>507</v>
      </c>
      <c r="D19" s="139" t="s">
        <v>433</v>
      </c>
      <c r="E19" s="139" t="s">
        <v>508</v>
      </c>
      <c r="F19" s="139" t="s">
        <v>508</v>
      </c>
    </row>
    <row r="20" spans="1:6" ht="38.25" thickBot="1" x14ac:dyDescent="0.35">
      <c r="A20" s="139" t="s">
        <v>509</v>
      </c>
      <c r="B20" s="139" t="s">
        <v>510</v>
      </c>
      <c r="C20" s="139" t="s">
        <v>510</v>
      </c>
      <c r="D20" s="139" t="s">
        <v>510</v>
      </c>
      <c r="E20" s="139" t="s">
        <v>510</v>
      </c>
      <c r="F20" s="139" t="s">
        <v>510</v>
      </c>
    </row>
    <row r="21" spans="1:6" ht="38.25" thickBot="1" x14ac:dyDescent="0.35">
      <c r="A21" s="139" t="s">
        <v>492</v>
      </c>
      <c r="B21" s="139" t="s">
        <v>510</v>
      </c>
      <c r="C21" s="139" t="s">
        <v>510</v>
      </c>
      <c r="D21" s="139" t="s">
        <v>510</v>
      </c>
      <c r="E21" s="139" t="s">
        <v>510</v>
      </c>
      <c r="F21" s="139" t="s">
        <v>510</v>
      </c>
    </row>
    <row r="22" spans="1:6" ht="19.5" thickBot="1" x14ac:dyDescent="0.35">
      <c r="A22" s="139" t="s">
        <v>511</v>
      </c>
      <c r="B22" s="141">
        <v>10000</v>
      </c>
      <c r="C22" s="141">
        <v>20000</v>
      </c>
      <c r="D22" s="141">
        <v>30000</v>
      </c>
      <c r="E22" s="141">
        <v>40000</v>
      </c>
      <c r="F22" s="141">
        <v>40000</v>
      </c>
    </row>
    <row r="23" spans="1:6" s="106" customFormat="1" ht="38.25" thickBot="1" x14ac:dyDescent="0.35">
      <c r="A23" s="139" t="s">
        <v>512</v>
      </c>
      <c r="B23" s="141">
        <v>100000</v>
      </c>
      <c r="C23" s="141">
        <v>200000</v>
      </c>
      <c r="D23" s="141">
        <v>300000</v>
      </c>
      <c r="E23" s="141">
        <v>400000</v>
      </c>
      <c r="F23" s="141">
        <v>500000</v>
      </c>
    </row>
    <row r="24" spans="1:6" ht="38.25" thickBot="1" x14ac:dyDescent="0.35">
      <c r="A24" s="139" t="s">
        <v>498</v>
      </c>
      <c r="B24" s="138" t="s">
        <v>499</v>
      </c>
      <c r="C24" s="138" t="s">
        <v>499</v>
      </c>
      <c r="D24" s="138" t="s">
        <v>499</v>
      </c>
      <c r="E24" s="138" t="s">
        <v>499</v>
      </c>
      <c r="F24" s="138" t="s">
        <v>499</v>
      </c>
    </row>
    <row r="25" spans="1:6" s="106" customFormat="1" ht="19.5" thickBot="1" x14ac:dyDescent="0.35">
      <c r="A25" s="227" t="s">
        <v>513</v>
      </c>
      <c r="B25" s="228"/>
      <c r="C25" s="228"/>
      <c r="D25" s="228"/>
      <c r="E25" s="228"/>
      <c r="F25" s="229"/>
    </row>
    <row r="26" spans="1:6" ht="57" thickBot="1" x14ac:dyDescent="0.35">
      <c r="A26" s="139" t="s">
        <v>514</v>
      </c>
      <c r="B26" s="139" t="s">
        <v>515</v>
      </c>
      <c r="C26" s="139" t="s">
        <v>516</v>
      </c>
      <c r="D26" s="139" t="s">
        <v>517</v>
      </c>
      <c r="E26" s="139" t="s">
        <v>518</v>
      </c>
      <c r="F26" s="139" t="s">
        <v>518</v>
      </c>
    </row>
    <row r="27" spans="1:6" s="106" customFormat="1" ht="19.5" thickBot="1" x14ac:dyDescent="0.35">
      <c r="A27" s="227"/>
      <c r="B27" s="228"/>
      <c r="C27" s="228"/>
      <c r="D27" s="228"/>
      <c r="E27" s="228"/>
      <c r="F27" s="229"/>
    </row>
    <row r="28" spans="1:6" ht="57" thickBot="1" x14ac:dyDescent="0.35">
      <c r="A28" s="139" t="s">
        <v>519</v>
      </c>
      <c r="B28" s="139" t="s">
        <v>497</v>
      </c>
      <c r="C28" s="139" t="s">
        <v>246</v>
      </c>
      <c r="D28" s="139" t="s">
        <v>485</v>
      </c>
      <c r="E28" s="139" t="s">
        <v>520</v>
      </c>
      <c r="F28" s="139" t="s">
        <v>521</v>
      </c>
    </row>
    <row r="29" spans="1:6" s="106" customFormat="1" ht="19.5" thickBot="1" x14ac:dyDescent="0.35">
      <c r="A29" s="227" t="s">
        <v>522</v>
      </c>
      <c r="B29" s="228"/>
      <c r="C29" s="228"/>
      <c r="D29" s="228"/>
      <c r="E29" s="228"/>
      <c r="F29" s="229"/>
    </row>
    <row r="30" spans="1:6" s="106" customFormat="1" ht="19.5" thickBot="1" x14ac:dyDescent="0.35">
      <c r="A30" s="139" t="s">
        <v>523</v>
      </c>
      <c r="B30" s="230" t="s">
        <v>524</v>
      </c>
      <c r="C30" s="230" t="s">
        <v>525</v>
      </c>
      <c r="D30" s="230" t="s">
        <v>526</v>
      </c>
      <c r="E30" s="230" t="s">
        <v>527</v>
      </c>
      <c r="F30" s="230" t="s">
        <v>527</v>
      </c>
    </row>
    <row r="31" spans="1:6" ht="19.5" thickBot="1" x14ac:dyDescent="0.35">
      <c r="A31" s="139" t="s">
        <v>528</v>
      </c>
      <c r="B31" s="231"/>
      <c r="C31" s="231"/>
      <c r="D31" s="231"/>
      <c r="E31" s="231"/>
      <c r="F31" s="231"/>
    </row>
    <row r="32" spans="1:6" s="106" customFormat="1" ht="19.5" thickBot="1" x14ac:dyDescent="0.35">
      <c r="A32" s="227" t="s">
        <v>529</v>
      </c>
      <c r="B32" s="228"/>
      <c r="C32" s="228"/>
      <c r="D32" s="228"/>
      <c r="E32" s="228"/>
      <c r="F32" s="229"/>
    </row>
    <row r="33" spans="1:6" ht="38.25" thickBot="1" x14ac:dyDescent="0.35">
      <c r="A33" s="139" t="s">
        <v>530</v>
      </c>
      <c r="B33" s="138" t="s">
        <v>531</v>
      </c>
      <c r="C33" s="138" t="s">
        <v>532</v>
      </c>
      <c r="D33" s="138" t="s">
        <v>533</v>
      </c>
      <c r="E33" s="138" t="s">
        <v>534</v>
      </c>
      <c r="F33" s="138" t="s">
        <v>534</v>
      </c>
    </row>
    <row r="34" spans="1:6" ht="19.5" thickBot="1" x14ac:dyDescent="0.35">
      <c r="A34" s="227" t="s">
        <v>535</v>
      </c>
      <c r="B34" s="228"/>
      <c r="C34" s="228"/>
      <c r="D34" s="228"/>
      <c r="E34" s="228"/>
      <c r="F34" s="229"/>
    </row>
    <row r="35" spans="1:6" ht="38.25" thickBot="1" x14ac:dyDescent="0.35">
      <c r="A35" s="142" t="s">
        <v>536</v>
      </c>
      <c r="B35" s="138" t="s">
        <v>28</v>
      </c>
      <c r="C35" s="138" t="s">
        <v>28</v>
      </c>
      <c r="D35" s="138" t="s">
        <v>28</v>
      </c>
      <c r="E35" s="138" t="s">
        <v>28</v>
      </c>
      <c r="F35" s="138" t="s">
        <v>28</v>
      </c>
    </row>
    <row r="36" spans="1:6" ht="19.5" thickBot="1" x14ac:dyDescent="0.35">
      <c r="A36" s="142" t="s">
        <v>537</v>
      </c>
      <c r="B36" s="138" t="s">
        <v>538</v>
      </c>
      <c r="C36" s="138" t="s">
        <v>538</v>
      </c>
      <c r="D36" s="138" t="s">
        <v>538</v>
      </c>
      <c r="E36" s="138" t="s">
        <v>538</v>
      </c>
      <c r="F36" s="138" t="s">
        <v>538</v>
      </c>
    </row>
    <row r="37" spans="1:6" ht="19.5" thickBot="1" x14ac:dyDescent="0.35">
      <c r="A37" s="227" t="s">
        <v>539</v>
      </c>
      <c r="B37" s="228"/>
      <c r="C37" s="228"/>
      <c r="D37" s="228"/>
      <c r="E37" s="228"/>
      <c r="F37" s="229"/>
    </row>
    <row r="38" spans="1:6" ht="19.5" thickBot="1" x14ac:dyDescent="0.35">
      <c r="A38" s="139" t="s">
        <v>540</v>
      </c>
      <c r="B38" s="138" t="s">
        <v>28</v>
      </c>
      <c r="C38" s="138" t="s">
        <v>28</v>
      </c>
      <c r="D38" s="138" t="s">
        <v>28</v>
      </c>
      <c r="E38" s="138" t="s">
        <v>28</v>
      </c>
      <c r="F38" s="138" t="s">
        <v>28</v>
      </c>
    </row>
    <row r="39" spans="1:6" ht="38.25" thickBot="1" x14ac:dyDescent="0.35">
      <c r="A39" s="139" t="s">
        <v>541</v>
      </c>
      <c r="B39" s="138" t="s">
        <v>28</v>
      </c>
      <c r="C39" s="138" t="s">
        <v>542</v>
      </c>
      <c r="D39" s="138" t="s">
        <v>542</v>
      </c>
      <c r="E39" s="138" t="s">
        <v>542</v>
      </c>
      <c r="F39" s="138" t="s">
        <v>542</v>
      </c>
    </row>
    <row r="40" spans="1:6" ht="57" thickBot="1" x14ac:dyDescent="0.35">
      <c r="A40" s="139" t="s">
        <v>543</v>
      </c>
      <c r="B40" s="138" t="s">
        <v>28</v>
      </c>
      <c r="C40" s="138" t="s">
        <v>28</v>
      </c>
      <c r="D40" s="138" t="s">
        <v>28</v>
      </c>
      <c r="E40" s="138" t="s">
        <v>28</v>
      </c>
      <c r="F40" s="138" t="s">
        <v>28</v>
      </c>
    </row>
    <row r="41" spans="1:6" ht="75.75" thickBot="1" x14ac:dyDescent="0.35">
      <c r="A41" s="143" t="s">
        <v>544</v>
      </c>
      <c r="B41" s="144" t="s">
        <v>33</v>
      </c>
      <c r="C41" s="144" t="s">
        <v>545</v>
      </c>
      <c r="D41" s="138" t="s">
        <v>28</v>
      </c>
      <c r="E41" s="138" t="s">
        <v>28</v>
      </c>
      <c r="F41" s="138" t="s">
        <v>28</v>
      </c>
    </row>
    <row r="42" spans="1:6" ht="75.75" thickBot="1" x14ac:dyDescent="0.35">
      <c r="A42" s="139" t="s">
        <v>546</v>
      </c>
      <c r="B42" s="138" t="s">
        <v>547</v>
      </c>
      <c r="C42" s="138" t="s">
        <v>547</v>
      </c>
      <c r="D42" s="138" t="s">
        <v>548</v>
      </c>
      <c r="E42" s="138" t="s">
        <v>548</v>
      </c>
      <c r="F42" s="138" t="s">
        <v>548</v>
      </c>
    </row>
    <row r="43" spans="1:6" ht="75.75" thickBot="1" x14ac:dyDescent="0.35">
      <c r="A43" s="139" t="s">
        <v>549</v>
      </c>
      <c r="B43" s="138" t="s">
        <v>295</v>
      </c>
      <c r="C43" s="138" t="s">
        <v>550</v>
      </c>
      <c r="D43" s="138" t="s">
        <v>551</v>
      </c>
      <c r="E43" s="138" t="s">
        <v>552</v>
      </c>
      <c r="F43" s="138" t="s">
        <v>552</v>
      </c>
    </row>
    <row r="44" spans="1:6" ht="263.25" thickBot="1" x14ac:dyDescent="0.35">
      <c r="A44" s="139" t="s">
        <v>553</v>
      </c>
      <c r="B44" s="138" t="s">
        <v>554</v>
      </c>
      <c r="C44" s="138" t="s">
        <v>320</v>
      </c>
      <c r="D44" s="138" t="s">
        <v>321</v>
      </c>
      <c r="E44" s="145" t="s">
        <v>555</v>
      </c>
      <c r="F44" s="146" t="s">
        <v>322</v>
      </c>
    </row>
    <row r="45" spans="1:6" ht="38.25" thickBot="1" x14ac:dyDescent="0.35">
      <c r="A45" s="139" t="s">
        <v>556</v>
      </c>
      <c r="B45" s="138" t="s">
        <v>542</v>
      </c>
      <c r="C45" s="138" t="s">
        <v>542</v>
      </c>
      <c r="D45" s="138" t="s">
        <v>542</v>
      </c>
      <c r="E45" s="138" t="s">
        <v>542</v>
      </c>
      <c r="F45" s="138" t="s">
        <v>542</v>
      </c>
    </row>
    <row r="46" spans="1:6" s="106" customFormat="1" ht="38.25" thickBot="1" x14ac:dyDescent="0.35">
      <c r="A46" s="139" t="s">
        <v>557</v>
      </c>
      <c r="B46" s="138" t="s">
        <v>28</v>
      </c>
      <c r="C46" s="138" t="s">
        <v>542</v>
      </c>
      <c r="D46" s="138" t="s">
        <v>542</v>
      </c>
      <c r="E46" s="138" t="s">
        <v>542</v>
      </c>
      <c r="F46" s="138" t="s">
        <v>542</v>
      </c>
    </row>
    <row r="47" spans="1:6" ht="19.5" thickBot="1" x14ac:dyDescent="0.35">
      <c r="A47" s="139" t="s">
        <v>558</v>
      </c>
      <c r="B47" s="138" t="s">
        <v>28</v>
      </c>
      <c r="C47" s="138" t="s">
        <v>542</v>
      </c>
      <c r="D47" s="138" t="s">
        <v>542</v>
      </c>
      <c r="E47" s="138" t="s">
        <v>542</v>
      </c>
      <c r="F47" s="138" t="s">
        <v>542</v>
      </c>
    </row>
    <row r="48" spans="1:6" ht="19.5" thickBot="1" x14ac:dyDescent="0.35">
      <c r="A48" s="147" t="s">
        <v>559</v>
      </c>
      <c r="B48" s="148">
        <v>118122.46875000001</v>
      </c>
      <c r="C48" s="148">
        <v>166264.3125</v>
      </c>
      <c r="D48" s="148">
        <v>267567.30000000005</v>
      </c>
      <c r="E48" s="148">
        <v>615273.75</v>
      </c>
      <c r="F48" s="148">
        <v>1002456</v>
      </c>
    </row>
    <row r="49" spans="1:12" ht="37.5" x14ac:dyDescent="0.3">
      <c r="A49" s="30" t="s">
        <v>560</v>
      </c>
      <c r="B49" s="149"/>
      <c r="C49" s="149"/>
      <c r="D49" s="149"/>
      <c r="E49" s="149"/>
      <c r="F49" s="149"/>
    </row>
    <row r="50" spans="1:12" ht="37.5" x14ac:dyDescent="0.3">
      <c r="A50" s="150" t="s">
        <v>561</v>
      </c>
      <c r="B50" s="149"/>
      <c r="C50" s="149"/>
      <c r="D50" s="149"/>
      <c r="E50" s="149"/>
      <c r="F50" s="149"/>
    </row>
    <row r="51" spans="1:12" x14ac:dyDescent="0.3">
      <c r="A51" s="151" t="s">
        <v>562</v>
      </c>
      <c r="B51" s="149"/>
      <c r="C51" s="149"/>
      <c r="D51" s="149"/>
      <c r="E51" s="149"/>
      <c r="F51" s="149"/>
    </row>
    <row r="52" spans="1:12" x14ac:dyDescent="0.3">
      <c r="A52" s="152" t="s">
        <v>563</v>
      </c>
      <c r="B52" s="149"/>
      <c r="C52" s="149"/>
      <c r="D52" s="149"/>
      <c r="E52" s="149"/>
      <c r="F52" s="149"/>
    </row>
    <row r="53" spans="1:12" x14ac:dyDescent="0.3">
      <c r="A53" s="152" t="s">
        <v>564</v>
      </c>
      <c r="B53" s="149"/>
      <c r="C53" s="149"/>
      <c r="D53" s="149"/>
      <c r="E53" s="149"/>
      <c r="F53" s="149"/>
    </row>
    <row r="54" spans="1:12" x14ac:dyDescent="0.3">
      <c r="A54" s="152" t="s">
        <v>565</v>
      </c>
      <c r="B54" s="149"/>
      <c r="C54" s="149"/>
      <c r="D54" s="149"/>
      <c r="E54" s="149"/>
      <c r="F54" s="149"/>
    </row>
    <row r="55" spans="1:12" x14ac:dyDescent="0.3">
      <c r="A55" s="152" t="s">
        <v>566</v>
      </c>
      <c r="B55" s="149"/>
      <c r="C55" s="149"/>
      <c r="D55" s="149"/>
      <c r="E55" s="149"/>
      <c r="F55" s="149"/>
    </row>
    <row r="56" spans="1:12" x14ac:dyDescent="0.3">
      <c r="A56" s="152" t="s">
        <v>567</v>
      </c>
      <c r="B56" s="149"/>
      <c r="C56" s="149"/>
      <c r="D56" s="149"/>
      <c r="E56" s="149"/>
      <c r="F56" s="149"/>
    </row>
    <row r="57" spans="1:12" ht="37.5" x14ac:dyDescent="0.3">
      <c r="A57" s="152" t="s">
        <v>568</v>
      </c>
      <c r="B57" s="149"/>
      <c r="C57" s="149"/>
      <c r="D57" s="149"/>
      <c r="E57" s="149"/>
      <c r="F57" s="149"/>
    </row>
    <row r="58" spans="1:12" x14ac:dyDescent="0.3">
      <c r="A58" s="152" t="s">
        <v>569</v>
      </c>
      <c r="B58" s="149"/>
      <c r="C58" s="149"/>
      <c r="D58" s="149"/>
      <c r="E58" s="149"/>
      <c r="F58" s="149"/>
    </row>
    <row r="59" spans="1:12" x14ac:dyDescent="0.3">
      <c r="A59" s="152" t="s">
        <v>570</v>
      </c>
      <c r="B59" s="149"/>
      <c r="C59" s="149"/>
      <c r="D59" s="149"/>
      <c r="E59" s="149"/>
      <c r="F59" s="149"/>
    </row>
    <row r="60" spans="1:12" ht="37.5" x14ac:dyDescent="0.3">
      <c r="A60" s="152" t="s">
        <v>571</v>
      </c>
      <c r="B60" s="149"/>
      <c r="C60" s="149"/>
      <c r="D60" s="149"/>
      <c r="E60" s="149"/>
      <c r="F60" s="149"/>
    </row>
    <row r="61" spans="1:12" ht="37.5" x14ac:dyDescent="0.3">
      <c r="A61" s="152" t="s">
        <v>572</v>
      </c>
      <c r="B61" s="149"/>
      <c r="C61" s="149"/>
      <c r="D61" s="149"/>
      <c r="E61" s="149"/>
      <c r="F61" s="149"/>
    </row>
    <row r="62" spans="1:12" x14ac:dyDescent="0.3">
      <c r="A62" s="152" t="s">
        <v>573</v>
      </c>
      <c r="B62" s="149"/>
      <c r="C62" s="149"/>
      <c r="D62" s="149"/>
      <c r="E62" s="149"/>
      <c r="F62" s="149"/>
      <c r="G62" s="153"/>
      <c r="H62" s="153"/>
      <c r="I62" s="153"/>
      <c r="J62" s="153"/>
      <c r="K62" s="153"/>
      <c r="L62" s="153"/>
    </row>
    <row r="63" spans="1:12" x14ac:dyDescent="0.3">
      <c r="A63" s="150" t="s">
        <v>574</v>
      </c>
      <c r="B63" s="149"/>
      <c r="C63" s="149"/>
      <c r="D63" s="149"/>
      <c r="E63" s="149"/>
      <c r="F63" s="149"/>
      <c r="G63" s="153"/>
      <c r="H63" s="153"/>
      <c r="I63" s="153"/>
      <c r="J63" s="153"/>
      <c r="K63" s="153"/>
      <c r="L63" s="153"/>
    </row>
    <row r="64" spans="1:12" x14ac:dyDescent="0.3">
      <c r="A64" s="150" t="s">
        <v>575</v>
      </c>
      <c r="B64" s="149"/>
      <c r="C64" s="149"/>
      <c r="D64" s="149"/>
      <c r="E64" s="149"/>
      <c r="F64" s="149"/>
      <c r="G64" s="153"/>
      <c r="H64" s="153"/>
      <c r="I64" s="153"/>
      <c r="J64" s="153"/>
      <c r="K64" s="153"/>
      <c r="L64" s="153"/>
    </row>
    <row r="65" spans="1:12" ht="37.5" x14ac:dyDescent="0.3">
      <c r="A65" s="150" t="s">
        <v>576</v>
      </c>
      <c r="B65" s="149"/>
      <c r="C65" s="149"/>
      <c r="D65" s="149"/>
      <c r="E65" s="149"/>
      <c r="F65" s="149"/>
      <c r="G65" s="153"/>
      <c r="H65" s="153"/>
      <c r="I65" s="153"/>
      <c r="J65" s="153"/>
      <c r="K65" s="153"/>
      <c r="L65" s="153"/>
    </row>
    <row r="66" spans="1:12" ht="37.5" x14ac:dyDescent="0.3">
      <c r="A66" s="150" t="s">
        <v>577</v>
      </c>
      <c r="B66" s="149"/>
      <c r="C66" s="149"/>
      <c r="D66" s="149"/>
      <c r="E66" s="149"/>
      <c r="F66" s="149"/>
      <c r="G66" s="153"/>
      <c r="H66" s="153"/>
      <c r="I66" s="153"/>
      <c r="J66" s="153"/>
      <c r="K66" s="153"/>
      <c r="L66" s="153"/>
    </row>
    <row r="67" spans="1:12" ht="37.5" x14ac:dyDescent="0.3">
      <c r="A67" s="150" t="s">
        <v>578</v>
      </c>
      <c r="B67" s="150"/>
      <c r="C67" s="150"/>
      <c r="D67" s="150"/>
      <c r="E67" s="150"/>
      <c r="F67" s="150"/>
    </row>
    <row r="68" spans="1:12" ht="37.5" x14ac:dyDescent="0.3">
      <c r="A68" s="150" t="s">
        <v>579</v>
      </c>
    </row>
    <row r="69" spans="1:12" x14ac:dyDescent="0.3">
      <c r="A69" s="150" t="s">
        <v>580</v>
      </c>
    </row>
    <row r="70" spans="1:12" x14ac:dyDescent="0.3">
      <c r="A70" s="150" t="s">
        <v>581</v>
      </c>
    </row>
    <row r="71" spans="1:12" x14ac:dyDescent="0.3">
      <c r="A71" s="150" t="s">
        <v>582</v>
      </c>
    </row>
    <row r="72" spans="1:12" ht="37.5" x14ac:dyDescent="0.3">
      <c r="A72" s="150" t="s">
        <v>583</v>
      </c>
    </row>
    <row r="73" spans="1:12" x14ac:dyDescent="0.3">
      <c r="A73" s="150" t="s">
        <v>584</v>
      </c>
    </row>
    <row r="74" spans="1:12" x14ac:dyDescent="0.3">
      <c r="A74" s="150" t="s">
        <v>585</v>
      </c>
    </row>
    <row r="75" spans="1:12" ht="37.5" x14ac:dyDescent="0.3">
      <c r="A75" s="150" t="s">
        <v>586</v>
      </c>
    </row>
    <row r="76" spans="1:12" ht="37.5" x14ac:dyDescent="0.3">
      <c r="A76" s="150" t="s">
        <v>587</v>
      </c>
    </row>
    <row r="77" spans="1:12" ht="37.5" x14ac:dyDescent="0.3">
      <c r="A77" s="152" t="s">
        <v>588</v>
      </c>
    </row>
  </sheetData>
  <mergeCells count="14">
    <mergeCell ref="A29:F29"/>
    <mergeCell ref="A4:F4"/>
    <mergeCell ref="A8:F8"/>
    <mergeCell ref="A17:F17"/>
    <mergeCell ref="A25:F25"/>
    <mergeCell ref="A27:F27"/>
    <mergeCell ref="A34:F34"/>
    <mergeCell ref="A37:F37"/>
    <mergeCell ref="B30:B31"/>
    <mergeCell ref="C30:C31"/>
    <mergeCell ref="D30:D31"/>
    <mergeCell ref="E30:E31"/>
    <mergeCell ref="F30:F31"/>
    <mergeCell ref="A32:F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CORPORATE</vt:lpstr>
      <vt:lpstr>SME</vt:lpstr>
      <vt:lpstr>SENIOR CITIZEN</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Kenechukwu Ezeudu</dc:creator>
  <cp:lastModifiedBy>Kenechukwu Ezeudu</cp:lastModifiedBy>
  <dcterms:created xsi:type="dcterms:W3CDTF">2026-01-15T18:11:35Z</dcterms:created>
  <dcterms:modified xsi:type="dcterms:W3CDTF">2026-03-20T15:20:45Z</dcterms:modified>
</cp:coreProperties>
</file>