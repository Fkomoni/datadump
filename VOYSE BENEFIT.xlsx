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o-imonikhe\Downloads\Documents\BENEFITS\BENEFIT\"/>
    </mc:Choice>
  </mc:AlternateContent>
  <xr:revisionPtr revIDLastSave="2" documentId="13_ncr:1_{47A4CA98-F58E-4032-9152-3E7CA15F9702}" xr6:coauthVersionLast="47" xr6:coauthVersionMax="47" xr10:uidLastSave="{0FF059B3-ECD0-4465-9D42-F7C72152FE3C}"/>
  <bookViews>
    <workbookView xWindow="-110" yWindow="-110" windowWidth="19420" windowHeight="10300" xr2:uid="{00000000-000D-0000-FFFF-FFFF00000000}"/>
  </bookViews>
  <sheets>
    <sheet name="CORPORATE" sheetId="6" r:id="rId1"/>
    <sheet name="MARCELLE RUTH" sheetId="15" state="hidden" r:id="rId2"/>
    <sheet name="Sheet1" sheetId="11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1" l="1"/>
  <c r="F21" i="11"/>
  <c r="E21" i="11"/>
  <c r="D21" i="11"/>
  <c r="C21" i="11"/>
  <c r="B21" i="11"/>
</calcChain>
</file>

<file path=xl/sharedStrings.xml><?xml version="1.0" encoding="utf-8"?>
<sst xmlns="http://schemas.openxmlformats.org/spreadsheetml/2006/main" count="255" uniqueCount="160">
  <si>
    <t>BENEFIT SUB-CATEGORIES</t>
  </si>
  <si>
    <t>PROMAX</t>
  </si>
  <si>
    <t>Provider Network</t>
  </si>
  <si>
    <t>Category A+B+C+D</t>
  </si>
  <si>
    <t>TERRITORY</t>
  </si>
  <si>
    <t>Local In-country + Africa+ India + UAE</t>
  </si>
  <si>
    <t>OVERALL LIMIT (Millions)</t>
  </si>
  <si>
    <t>Unlimited</t>
  </si>
  <si>
    <t>OUT-PATIENT LIMIT (Millions)</t>
  </si>
  <si>
    <t xml:space="preserve">WELLNESS BENEFITS </t>
  </si>
  <si>
    <t>Active rewards Program (improve your health, get rewarded)</t>
  </si>
  <si>
    <t>Covered</t>
  </si>
  <si>
    <t>Fitnesss Tracker (Leadway Health APP)</t>
  </si>
  <si>
    <t>Annual Wellness Screening</t>
  </si>
  <si>
    <t>Mental Health preventive Services</t>
  </si>
  <si>
    <t>Network Gym services</t>
  </si>
  <si>
    <t>Covered twice a week</t>
  </si>
  <si>
    <t>SPA Treatment (Voucher PA)</t>
  </si>
  <si>
    <t>2 SESSIONS PER ANNUM</t>
  </si>
  <si>
    <t>On-site Health Checks , Health Talks/ Webinar. Health Edu Series</t>
  </si>
  <si>
    <t xml:space="preserve">DAY TO DAY BENEFITS (Out-Patient) </t>
  </si>
  <si>
    <t>GP consultations within network</t>
  </si>
  <si>
    <t>Specialist consultations within network</t>
  </si>
  <si>
    <t>Telemedicine consultations</t>
  </si>
  <si>
    <t>Prescribed Medications</t>
  </si>
  <si>
    <t>Laboratory Tests, Ultrasound and X-Rays</t>
  </si>
  <si>
    <t>TELEMEDICINE AND TELECONSULTATION</t>
  </si>
  <si>
    <t>Instant Telemedicine call with Doctors</t>
  </si>
  <si>
    <t>24/7 Emergency response via the Leadway Health APP</t>
  </si>
  <si>
    <t>Chats with Doctors and Nurses when in need of any routine medical information</t>
  </si>
  <si>
    <t>GPS-enabled access to hospital directories whenhospital information is needed</t>
  </si>
  <si>
    <t>HOSPITILIZATION BENEFITS</t>
  </si>
  <si>
    <t>Admission</t>
  </si>
  <si>
    <t>Unlimited (Private ward)</t>
  </si>
  <si>
    <t>Accommodation for parent whose infant is on admission</t>
  </si>
  <si>
    <t>7 days</t>
  </si>
  <si>
    <t>Ambulance Services</t>
  </si>
  <si>
    <t>Psychiatric hospitalization</t>
  </si>
  <si>
    <t>10 days</t>
  </si>
  <si>
    <t>Outpatient Psychiatry care (12 weeks)</t>
  </si>
  <si>
    <t>MATERNITY</t>
  </si>
  <si>
    <t>Within Leadway Hospital Network (ANC, Maternity and Postcare)</t>
  </si>
  <si>
    <t>Out of Network</t>
  </si>
  <si>
    <t>ANC + Delivery -N150,000 CS Delivery- N300,000</t>
  </si>
  <si>
    <t>Maternity complications*</t>
  </si>
  <si>
    <t>Neonatal care (including incubator)</t>
  </si>
  <si>
    <t>Cover up to NGN5,000,000</t>
  </si>
  <si>
    <t>Reimbursements for delivery abroad</t>
  </si>
  <si>
    <t>Vaginal Delivery N200,000/ CS Delivery N350,000</t>
  </si>
  <si>
    <t>Family Planning</t>
  </si>
  <si>
    <t>Pills, Injectibles, Copper IUCD, Vasectomy, Tubal Ligation (only during CS) and Norplant</t>
  </si>
  <si>
    <t>Male Circumcision and Ear Piercing</t>
  </si>
  <si>
    <t>Congenital anomaly treatment (only on children born within the plan)</t>
  </si>
  <si>
    <t>Limit of 1million per annum</t>
  </si>
  <si>
    <t>IMMUNISATIONS</t>
  </si>
  <si>
    <t>NPI Immunization for 0-5 year: BCG, Measles, DPT, Oral polio, Vitamin A supplementation, Pentavalent vaccine,Yellow Fever Measles, Hepatitis B, HIB</t>
  </si>
  <si>
    <t>Additional Immunisations (For ages 0-5 years): Chickent Pox, MMR, Pneumococcal, Meningitis, Typhoid, Rotavirus</t>
  </si>
  <si>
    <t>Addition Immunization (above 6 - 17 years): Yellow Fever, Meningitis, Hepatitis B</t>
  </si>
  <si>
    <t>Baby Wellness Programme</t>
  </si>
  <si>
    <t>MAJOR DISEASES</t>
  </si>
  <si>
    <t>Major Disease limit (Cancer care, Stroke )</t>
  </si>
  <si>
    <t>Covered up to  N2,000,000</t>
  </si>
  <si>
    <t>Renal Dialysis</t>
  </si>
  <si>
    <t>10 Sessions</t>
  </si>
  <si>
    <t>SURGERIES</t>
  </si>
  <si>
    <t>Minor, Intermediate, Major Surgeries &amp; Tertiary Surgeries</t>
  </si>
  <si>
    <t>Anaesthesia, Surgeon, Admission, Drugs, Surgical supplies/ Consumables, administration of blood or blood products, etc</t>
  </si>
  <si>
    <t>Non-Invasive Surgeries &amp; Spine Surgeries- Covered from surgery Limit</t>
  </si>
  <si>
    <t>OPHTHALMOLOGICAL</t>
  </si>
  <si>
    <t>Primary eye care (consultation, examination, simple/primary infection, medications, eye tests; Tonometry/Intra-Ocular Pressure, Refraction, Fundoscopy, and Slit Lamp</t>
  </si>
  <si>
    <t>Secondary eye care (Pachymetry, Central Visual Field, Indirect Opthalmoscopy, Depth Perception Test, Shirmer’s Tear Test, Amsler Test, Retina Photography, OCT Scan, A Scan, B Scan)</t>
  </si>
  <si>
    <t>Lenses &amp; Frames (Once in Two Years)</t>
  </si>
  <si>
    <t>N65,000</t>
  </si>
  <si>
    <t>Surgeries subject to pre-authorization and overall limits</t>
  </si>
  <si>
    <t>Up to 1,000,000</t>
  </si>
  <si>
    <t>ENT</t>
  </si>
  <si>
    <t>Treatment of ENT diseases</t>
  </si>
  <si>
    <t>Surgeries subject to pre-authorisation</t>
  </si>
  <si>
    <t>Covered up to overall surgery limit</t>
  </si>
  <si>
    <t>DENTISTRY</t>
  </si>
  <si>
    <t>Primary (Basic) Dental</t>
  </si>
  <si>
    <t>N200,000</t>
  </si>
  <si>
    <t>Secondary (Specialised) Dental</t>
  </si>
  <si>
    <t>DIAGNOSTICS</t>
  </si>
  <si>
    <t>Pathology (laboratory services)</t>
  </si>
  <si>
    <t>Basic Radiology (black &amp; white X rays &amp; abdominal &amp; pelvic ultrasonography)</t>
  </si>
  <si>
    <t>Fertility Services (consultation &amp; investigation only)</t>
  </si>
  <si>
    <t>Counseling, USS, SFA, HSG, Hormonal Assay, Hysteroscopy</t>
  </si>
  <si>
    <t>(up to 150,000)</t>
  </si>
  <si>
    <t>Echochadiogram,Electrocardiogram Rest (ECG), Spirometry, Electroencephalogram</t>
  </si>
  <si>
    <t>Advanced Investigations- MRI, CT scan</t>
  </si>
  <si>
    <t>PHYSIOTHERAPY</t>
  </si>
  <si>
    <t>Physiotherapy sessions</t>
  </si>
  <si>
    <t>EXTERNAL MEDICAL DEVICES &amp;</t>
  </si>
  <si>
    <t>Covered up to 150,000</t>
  </si>
  <si>
    <t>APPLIANCES such as crutches, neck collars etc Limits are per incident. Subject to overall limits and pre-authorisation</t>
  </si>
  <si>
    <t>CHRONIC DISEASES TREATMENT</t>
  </si>
  <si>
    <t>Management and treatment of Chronic illnesses</t>
  </si>
  <si>
    <t>Personal Health equipment for Chronic condition</t>
  </si>
  <si>
    <t>Glucometer or Sphygmomanometer</t>
  </si>
  <si>
    <t>ROUTINE HEALTH CHECKS (Offered as a complimentary benefit). Subject to pre-authorisation</t>
  </si>
  <si>
    <t>Age 22+/All Gender: (Physical, BP, Urinalysis, PCV, Blood Sugar, Chest Xray, ECG, Serum Cholesterol, Liver Function test, Electrolyte, Urea, Creatinine, Annual Mammogram for Women &gt;40, Breast scan for Women &gt;30,Cervical smears every 2 years for Women&gt;30 years PSA for Men abover 40yrs</t>
  </si>
  <si>
    <t>EMERGENCY</t>
  </si>
  <si>
    <t>Stabilization, Emergency medications and investigations including CT scans and MRI</t>
  </si>
  <si>
    <t>Intensive Care ward within network</t>
  </si>
  <si>
    <t>Cover up to 6,500,000</t>
  </si>
  <si>
    <t>ADDITIONAL BENEFITS</t>
  </si>
  <si>
    <t>Pharmacy Benefit Management</t>
  </si>
  <si>
    <t>Discounts at Nutritional Stores</t>
  </si>
  <si>
    <t>Mortuary fee per Family</t>
  </si>
  <si>
    <t>Covered up to 250,000</t>
  </si>
  <si>
    <t>Online Zumba &amp; Tabatha dance classes</t>
  </si>
  <si>
    <t>Personal Accident for Principal</t>
  </si>
  <si>
    <t>N100,000</t>
  </si>
  <si>
    <t>Vaccination at home (at selected cities)</t>
  </si>
  <si>
    <t>Travel Insurance on Principal</t>
  </si>
  <si>
    <t>4 Weeks</t>
  </si>
  <si>
    <t>HIV/AIDS Diagnosis + treatment (at free specialist centers)</t>
  </si>
  <si>
    <t>Second opinion service by Experts local and abroad</t>
  </si>
  <si>
    <t>International evacuation</t>
  </si>
  <si>
    <t>Not Covered</t>
  </si>
  <si>
    <t>Employee Assistance Programme (EAP)</t>
  </si>
  <si>
    <t>Free Uber ride to Network Hospital</t>
  </si>
  <si>
    <t>ACCESS TO I-FITNESS GYM</t>
  </si>
  <si>
    <t>ACCESS TO EURACARE &amp; DUCHESS HOSPITAL</t>
  </si>
  <si>
    <t>2025 CURRENT RATE</t>
  </si>
  <si>
    <t>PLUS</t>
  </si>
  <si>
    <t>PRO</t>
  </si>
  <si>
    <t>MAX</t>
  </si>
  <si>
    <t>MAGNUM</t>
  </si>
  <si>
    <t>MAGNUM PLUS</t>
  </si>
  <si>
    <t>Covered up to</t>
  </si>
  <si>
    <t>NGN 300,000.00</t>
  </si>
  <si>
    <t>NGN 400,000.00</t>
  </si>
  <si>
    <t>Non-Invasive Surgeries- Covered from surgery Limit</t>
  </si>
  <si>
    <t>N/A</t>
  </si>
  <si>
    <t>N15,000</t>
  </si>
  <si>
    <t>N20,000</t>
  </si>
  <si>
    <t>N37,500</t>
  </si>
  <si>
    <t>N70,000</t>
  </si>
  <si>
    <t>N30,000</t>
  </si>
  <si>
    <t>N50,000</t>
  </si>
  <si>
    <t>N150,000</t>
  </si>
  <si>
    <t>Individual Rate</t>
  </si>
  <si>
    <t>Family rate</t>
  </si>
  <si>
    <t>H2 2025 PROPOSED BENEFIT AND RATES</t>
  </si>
  <si>
    <t>Covered up to NGN 400,000.00</t>
  </si>
  <si>
    <t>Covered up to NGN 500,000</t>
  </si>
  <si>
    <t>Covered up to(N300,000)</t>
  </si>
  <si>
    <t>Covered up to(N400,000)</t>
  </si>
  <si>
    <t>N18,000</t>
  </si>
  <si>
    <t>N25,000</t>
  </si>
  <si>
    <t>N40,000</t>
  </si>
  <si>
    <t>N75,000</t>
  </si>
  <si>
    <t>N120,000</t>
  </si>
  <si>
    <t>N35,000</t>
  </si>
  <si>
    <t>N60,000</t>
  </si>
  <si>
    <t>N180,000</t>
  </si>
  <si>
    <t>N230,000</t>
  </si>
  <si>
    <t>N300,000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</si>
</sst>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₦&quot;* #,##0.00_-;\-&quot;₦&quot;* #,##0.00_-;_-&quot;₦&quot;* &quot;-&quot;??_-;_-@_-"/>
    <numFmt numFmtId="165" formatCode="_-* #,##0.00_-;\-* #,##0.00_-;_-* &quot;-&quot;??_-;_-@_-"/>
    <numFmt numFmtId="166" formatCode="_-* #,##0_-;\-* #,##0_-;_-* &quot;-&quot;??_-;_-@_-"/>
  </numFmts>
  <fonts count="17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2"/>
      <color rgb="FF000000"/>
      <name val="Source Sans Pro"/>
      <family val="2"/>
    </font>
    <font>
      <b/>
      <sz val="13"/>
      <color rgb="FFFFFFFF"/>
      <name val="Tahoma"/>
      <family val="2"/>
    </font>
    <font>
      <b/>
      <sz val="22"/>
      <color theme="1"/>
      <name val="Calibri"/>
      <family val="2"/>
      <scheme val="minor"/>
    </font>
    <font>
      <sz val="12"/>
      <color rgb="FF262626"/>
      <name val="Source Sans Pro"/>
      <family val="2"/>
    </font>
    <font>
      <sz val="12"/>
      <color rgb="FF262626"/>
      <name val="Tahoma"/>
      <family val="2"/>
    </font>
    <font>
      <sz val="12"/>
      <color theme="1"/>
      <name val="Calibri"/>
      <family val="2"/>
      <scheme val="minor"/>
    </font>
    <font>
      <sz val="13"/>
      <color rgb="FF262626"/>
      <name val="Source Sans Pro"/>
      <family val="2"/>
    </font>
    <font>
      <sz val="13"/>
      <color rgb="FF000000"/>
      <name val="Source Sans Pro"/>
      <family val="2"/>
    </font>
    <font>
      <sz val="14"/>
      <color rgb="FF000000"/>
      <name val="Source Sans Pro"/>
      <family val="2"/>
    </font>
    <font>
      <b/>
      <sz val="14"/>
      <color rgb="FFFFFFFF"/>
      <name val="Source Sans Pro"/>
      <family val="2"/>
    </font>
    <font>
      <sz val="14"/>
      <color theme="1"/>
      <name val="Source Sans Pro"/>
      <family val="2"/>
    </font>
    <font>
      <sz val="14"/>
      <color rgb="FF262626"/>
      <name val="Source Sans Pro"/>
      <family val="2"/>
    </font>
    <font>
      <sz val="14"/>
      <color rgb="FF231F20"/>
      <name val="Source Sans Pro"/>
      <family val="2"/>
    </font>
    <font>
      <b/>
      <sz val="14"/>
      <color rgb="FF262626"/>
      <name val="Source Sans Pro"/>
      <family val="2"/>
    </font>
  </fonts>
  <fills count="14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27AAE1"/>
        <bgColor indexed="64"/>
      </patternFill>
    </fill>
    <fill>
      <patternFill patternType="solid">
        <fgColor rgb="FFFAA61A"/>
        <bgColor indexed="64"/>
      </patternFill>
    </fill>
    <fill>
      <patternFill patternType="solid">
        <fgColor rgb="FF272362"/>
        <bgColor indexed="64"/>
      </patternFill>
    </fill>
    <fill>
      <patternFill patternType="solid">
        <fgColor rgb="FFF15A26"/>
        <bgColor indexed="64"/>
      </patternFill>
    </fill>
    <fill>
      <patternFill patternType="solid">
        <fgColor rgb="FFF3C92D"/>
        <bgColor indexed="64"/>
      </patternFill>
    </fill>
    <fill>
      <patternFill patternType="solid">
        <fgColor rgb="FFEBEAE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0" borderId="1" xfId="5" applyFont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0" fontId="8" fillId="0" borderId="1" xfId="0" applyFont="1" applyBorder="1"/>
    <xf numFmtId="0" fontId="3" fillId="0" borderId="1" xfId="0" applyFont="1" applyBorder="1" applyAlignment="1">
      <alignment horizontal="center" vertical="center" wrapText="1" readingOrder="1"/>
    </xf>
    <xf numFmtId="0" fontId="7" fillId="8" borderId="1" xfId="5" applyFont="1" applyFill="1" applyBorder="1" applyAlignment="1">
      <alignment horizontal="right" vertical="center" wrapText="1"/>
    </xf>
    <xf numFmtId="3" fontId="8" fillId="0" borderId="1" xfId="0" applyNumberFormat="1" applyFont="1" applyBorder="1"/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right" vertical="center" wrapText="1"/>
    </xf>
    <xf numFmtId="3" fontId="9" fillId="0" borderId="1" xfId="0" applyNumberFormat="1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right" vertical="center" wrapText="1" readingOrder="1"/>
    </xf>
    <xf numFmtId="166" fontId="0" fillId="0" borderId="1" xfId="1" applyNumberFormat="1" applyFont="1" applyBorder="1" applyAlignment="1"/>
    <xf numFmtId="0" fontId="13" fillId="0" borderId="0" xfId="0" applyFont="1"/>
    <xf numFmtId="0" fontId="14" fillId="0" borderId="1" xfId="0" applyFont="1" applyBorder="1" applyAlignment="1">
      <alignment horizontal="center" vertical="center" wrapText="1"/>
    </xf>
    <xf numFmtId="0" fontId="12" fillId="10" borderId="1" xfId="0" applyFont="1" applyFill="1" applyBorder="1" applyAlignment="1">
      <alignment vertical="center" wrapText="1"/>
    </xf>
    <xf numFmtId="0" fontId="13" fillId="0" borderId="0" xfId="0" applyFont="1" applyAlignment="1">
      <alignment wrapText="1"/>
    </xf>
    <xf numFmtId="0" fontId="12" fillId="2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4" fillId="12" borderId="1" xfId="0" applyFont="1" applyFill="1" applyBorder="1" applyAlignment="1">
      <alignment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vertical="center" wrapText="1"/>
    </xf>
    <xf numFmtId="3" fontId="14" fillId="12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3" fontId="14" fillId="11" borderId="1" xfId="0" applyNumberFormat="1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vertical="center" wrapText="1"/>
    </xf>
    <xf numFmtId="0" fontId="12" fillId="10" borderId="1" xfId="0" applyFont="1" applyFill="1" applyBorder="1" applyAlignment="1">
      <alignment horizontal="left" vertical="center" wrapText="1"/>
    </xf>
    <xf numFmtId="3" fontId="14" fillId="8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6" fillId="8" borderId="1" xfId="0" applyFont="1" applyFill="1" applyBorder="1" applyAlignment="1">
      <alignment vertical="center" wrapText="1"/>
    </xf>
    <xf numFmtId="3" fontId="13" fillId="0" borderId="0" xfId="0" applyNumberFormat="1" applyFont="1" applyAlignment="1">
      <alignment horizontal="center" wrapText="1"/>
    </xf>
    <xf numFmtId="0" fontId="13" fillId="0" borderId="0" xfId="0" applyFont="1" applyAlignment="1">
      <alignment horizontal="center" wrapText="1"/>
    </xf>
    <xf numFmtId="9" fontId="13" fillId="0" borderId="0" xfId="4" applyFont="1" applyAlignment="1">
      <alignment horizont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 wrapText="1" readingOrder="1"/>
    </xf>
    <xf numFmtId="0" fontId="11" fillId="13" borderId="4" xfId="0" applyFont="1" applyFill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 wrapText="1"/>
    </xf>
    <xf numFmtId="0" fontId="14" fillId="8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/>
    </xf>
    <xf numFmtId="0" fontId="7" fillId="0" borderId="1" xfId="5" applyFont="1" applyBorder="1" applyAlignment="1">
      <alignment horizontal="right" vertical="center" wrapText="1"/>
    </xf>
    <xf numFmtId="0" fontId="5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</cellXfs>
  <cellStyles count="6">
    <cellStyle name="Comma" xfId="1" builtinId="3"/>
    <cellStyle name="Comma 2" xfId="2" xr:uid="{00000000-0005-0000-0000-00002F000000}"/>
    <cellStyle name="Currency 2" xfId="3" xr:uid="{00000000-0005-0000-0000-000030000000}"/>
    <cellStyle name="Normal" xfId="0" builtinId="0"/>
    <cellStyle name="Normal 2" xfId="5" xr:uid="{F7EED99F-78CB-4EB0-B7E3-814ADE1EA476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zoomScale="56" zoomScaleNormal="56" workbookViewId="0">
      <pane ySplit="1" topLeftCell="A85" activePane="bottomLeft" state="frozen"/>
      <selection pane="bottomLeft" activeCell="O92" sqref="O92"/>
    </sheetView>
  </sheetViews>
  <sheetFormatPr defaultColWidth="9.140625" defaultRowHeight="18.600000000000001"/>
  <cols>
    <col min="1" max="1" width="48.42578125" style="26" customWidth="1"/>
    <col min="2" max="2" width="42.42578125" style="44" customWidth="1"/>
    <col min="3" max="16384" width="9.140625" style="23"/>
  </cols>
  <sheetData>
    <row r="1" spans="1:2">
      <c r="A1" s="27" t="s">
        <v>0</v>
      </c>
      <c r="B1" s="28" t="s">
        <v>1</v>
      </c>
    </row>
    <row r="2" spans="1:2">
      <c r="A2" s="29" t="s">
        <v>2</v>
      </c>
      <c r="B2" s="24" t="s">
        <v>3</v>
      </c>
    </row>
    <row r="3" spans="1:2" ht="36.950000000000003">
      <c r="A3" s="30" t="s">
        <v>4</v>
      </c>
      <c r="B3" s="32" t="s">
        <v>5</v>
      </c>
    </row>
    <row r="4" spans="1:2">
      <c r="A4" s="29" t="s">
        <v>6</v>
      </c>
      <c r="B4" s="24" t="s">
        <v>7</v>
      </c>
    </row>
    <row r="5" spans="1:2">
      <c r="A5" s="33" t="s">
        <v>8</v>
      </c>
      <c r="B5" s="32" t="s">
        <v>7</v>
      </c>
    </row>
    <row r="6" spans="1:2">
      <c r="A6" s="25" t="s">
        <v>9</v>
      </c>
      <c r="B6" s="48"/>
    </row>
    <row r="7" spans="1:2" ht="36.950000000000003">
      <c r="A7" s="33" t="s">
        <v>10</v>
      </c>
      <c r="B7" s="32" t="s">
        <v>11</v>
      </c>
    </row>
    <row r="8" spans="1:2" ht="36.950000000000003">
      <c r="A8" s="29" t="s">
        <v>12</v>
      </c>
      <c r="B8" s="24" t="s">
        <v>11</v>
      </c>
    </row>
    <row r="9" spans="1:2">
      <c r="A9" s="33" t="s">
        <v>13</v>
      </c>
      <c r="B9" s="32" t="s">
        <v>11</v>
      </c>
    </row>
    <row r="10" spans="1:2">
      <c r="A10" s="29" t="s">
        <v>14</v>
      </c>
      <c r="B10" s="24" t="s">
        <v>11</v>
      </c>
    </row>
    <row r="11" spans="1:2">
      <c r="A11" s="33" t="s">
        <v>15</v>
      </c>
      <c r="B11" s="31" t="s">
        <v>16</v>
      </c>
    </row>
    <row r="12" spans="1:2">
      <c r="A12" s="29" t="s">
        <v>17</v>
      </c>
      <c r="B12" s="34" t="s">
        <v>18</v>
      </c>
    </row>
    <row r="13" spans="1:2" ht="36.950000000000003">
      <c r="A13" s="33" t="s">
        <v>19</v>
      </c>
      <c r="B13" s="32" t="s">
        <v>11</v>
      </c>
    </row>
    <row r="14" spans="1:2" ht="36.950000000000003">
      <c r="A14" s="25" t="s">
        <v>20</v>
      </c>
      <c r="B14" s="48"/>
    </row>
    <row r="15" spans="1:2">
      <c r="A15" s="33" t="s">
        <v>21</v>
      </c>
      <c r="B15" s="32" t="s">
        <v>11</v>
      </c>
    </row>
    <row r="16" spans="1:2" ht="36.950000000000003">
      <c r="A16" s="29" t="s">
        <v>22</v>
      </c>
      <c r="B16" s="24" t="s">
        <v>11</v>
      </c>
    </row>
    <row r="17" spans="1:2">
      <c r="A17" s="33" t="s">
        <v>23</v>
      </c>
      <c r="B17" s="32" t="s">
        <v>11</v>
      </c>
    </row>
    <row r="18" spans="1:2">
      <c r="A18" s="29" t="s">
        <v>24</v>
      </c>
      <c r="B18" s="24" t="s">
        <v>11</v>
      </c>
    </row>
    <row r="19" spans="1:2" ht="36.950000000000003">
      <c r="A19" s="33" t="s">
        <v>25</v>
      </c>
      <c r="B19" s="32" t="s">
        <v>11</v>
      </c>
    </row>
    <row r="20" spans="1:2" ht="36.950000000000003">
      <c r="A20" s="25" t="s">
        <v>26</v>
      </c>
      <c r="B20" s="46"/>
    </row>
    <row r="21" spans="1:2" ht="36.950000000000003">
      <c r="A21" s="33" t="s">
        <v>27</v>
      </c>
      <c r="B21" s="32" t="s">
        <v>11</v>
      </c>
    </row>
    <row r="22" spans="1:2" ht="36.950000000000003">
      <c r="A22" s="29" t="s">
        <v>28</v>
      </c>
      <c r="B22" s="24" t="s">
        <v>11</v>
      </c>
    </row>
    <row r="23" spans="1:2" ht="55.5">
      <c r="A23" s="33" t="s">
        <v>29</v>
      </c>
      <c r="B23" s="32" t="s">
        <v>11</v>
      </c>
    </row>
    <row r="24" spans="1:2" ht="55.5">
      <c r="A24" s="29" t="s">
        <v>30</v>
      </c>
      <c r="B24" s="24" t="s">
        <v>11</v>
      </c>
    </row>
    <row r="25" spans="1:2" ht="39" customHeight="1">
      <c r="A25" s="25" t="s">
        <v>31</v>
      </c>
      <c r="B25" s="46"/>
    </row>
    <row r="26" spans="1:2">
      <c r="A26" s="33" t="s">
        <v>32</v>
      </c>
      <c r="B26" s="32" t="s">
        <v>33</v>
      </c>
    </row>
    <row r="27" spans="1:2" ht="36.950000000000003">
      <c r="A27" s="29" t="s">
        <v>34</v>
      </c>
      <c r="B27" s="24" t="s">
        <v>35</v>
      </c>
    </row>
    <row r="28" spans="1:2">
      <c r="A28" s="33" t="s">
        <v>36</v>
      </c>
      <c r="B28" s="32" t="s">
        <v>11</v>
      </c>
    </row>
    <row r="29" spans="1:2">
      <c r="A29" s="29" t="s">
        <v>37</v>
      </c>
      <c r="B29" s="24" t="s">
        <v>38</v>
      </c>
    </row>
    <row r="30" spans="1:2" ht="36.950000000000003">
      <c r="A30" s="33" t="s">
        <v>39</v>
      </c>
      <c r="B30" s="32" t="s">
        <v>11</v>
      </c>
    </row>
    <row r="31" spans="1:2" ht="41.25" customHeight="1">
      <c r="A31" s="25" t="s">
        <v>40</v>
      </c>
      <c r="B31" s="46"/>
    </row>
    <row r="32" spans="1:2" ht="36.950000000000003">
      <c r="A32" s="33" t="s">
        <v>41</v>
      </c>
      <c r="B32" s="32" t="s">
        <v>11</v>
      </c>
    </row>
    <row r="33" spans="1:2" ht="36.950000000000003">
      <c r="A33" s="29" t="s">
        <v>42</v>
      </c>
      <c r="B33" s="35" t="s">
        <v>43</v>
      </c>
    </row>
    <row r="34" spans="1:2">
      <c r="A34" s="33" t="s">
        <v>44</v>
      </c>
      <c r="B34" s="32" t="s">
        <v>11</v>
      </c>
    </row>
    <row r="35" spans="1:2">
      <c r="A35" s="29" t="s">
        <v>45</v>
      </c>
      <c r="B35" s="31" t="s">
        <v>46</v>
      </c>
    </row>
    <row r="36" spans="1:2" ht="36.950000000000003">
      <c r="A36" s="33" t="s">
        <v>47</v>
      </c>
      <c r="B36" s="32" t="s">
        <v>48</v>
      </c>
    </row>
    <row r="37" spans="1:2" ht="55.5">
      <c r="A37" s="29" t="s">
        <v>49</v>
      </c>
      <c r="B37" s="24" t="s">
        <v>50</v>
      </c>
    </row>
    <row r="38" spans="1:2">
      <c r="A38" s="33" t="s">
        <v>51</v>
      </c>
      <c r="B38" s="32" t="s">
        <v>11</v>
      </c>
    </row>
    <row r="39" spans="1:2" ht="36.950000000000003">
      <c r="A39" s="29" t="s">
        <v>52</v>
      </c>
      <c r="B39" s="24" t="s">
        <v>53</v>
      </c>
    </row>
    <row r="40" spans="1:2">
      <c r="A40" s="25" t="s">
        <v>54</v>
      </c>
      <c r="B40" s="46"/>
    </row>
    <row r="41" spans="1:2" ht="92.45">
      <c r="A41" s="29" t="s">
        <v>55</v>
      </c>
      <c r="B41" s="24" t="s">
        <v>11</v>
      </c>
    </row>
    <row r="42" spans="1:2" ht="74.099999999999994">
      <c r="A42" s="33" t="s">
        <v>56</v>
      </c>
      <c r="B42" s="32" t="s">
        <v>11</v>
      </c>
    </row>
    <row r="43" spans="1:2" ht="55.5">
      <c r="A43" s="29" t="s">
        <v>57</v>
      </c>
      <c r="B43" s="24" t="s">
        <v>11</v>
      </c>
    </row>
    <row r="44" spans="1:2">
      <c r="A44" s="33" t="s">
        <v>58</v>
      </c>
      <c r="B44" s="32" t="s">
        <v>11</v>
      </c>
    </row>
    <row r="45" spans="1:2" ht="34.5" customHeight="1">
      <c r="A45" s="25" t="s">
        <v>59</v>
      </c>
      <c r="B45" s="46"/>
    </row>
    <row r="46" spans="1:2" ht="36.950000000000003">
      <c r="A46" s="33" t="s">
        <v>60</v>
      </c>
      <c r="B46" s="31" t="s">
        <v>61</v>
      </c>
    </row>
    <row r="47" spans="1:2">
      <c r="A47" s="29" t="s">
        <v>62</v>
      </c>
      <c r="B47" s="36" t="s">
        <v>63</v>
      </c>
    </row>
    <row r="48" spans="1:2" ht="41.25" customHeight="1">
      <c r="A48" s="25" t="s">
        <v>64</v>
      </c>
      <c r="B48" s="47"/>
    </row>
    <row r="49" spans="1:2" ht="36.950000000000003">
      <c r="A49" s="29" t="s">
        <v>65</v>
      </c>
      <c r="B49" s="24" t="s">
        <v>11</v>
      </c>
    </row>
    <row r="50" spans="1:2" ht="74.099999999999994">
      <c r="A50" s="33" t="s">
        <v>66</v>
      </c>
      <c r="B50" s="24" t="s">
        <v>11</v>
      </c>
    </row>
    <row r="51" spans="1:2" ht="55.5">
      <c r="A51" s="30" t="s">
        <v>67</v>
      </c>
      <c r="B51" s="34">
        <v>1500000</v>
      </c>
    </row>
    <row r="52" spans="1:2">
      <c r="A52" s="25" t="s">
        <v>68</v>
      </c>
      <c r="B52" s="48"/>
    </row>
    <row r="53" spans="1:2" ht="111">
      <c r="A53" s="33" t="s">
        <v>69</v>
      </c>
      <c r="B53" s="32" t="s">
        <v>7</v>
      </c>
    </row>
    <row r="54" spans="1:2" ht="111">
      <c r="A54" s="29" t="s">
        <v>70</v>
      </c>
      <c r="B54" s="24" t="s">
        <v>7</v>
      </c>
    </row>
    <row r="55" spans="1:2">
      <c r="A55" s="33" t="s">
        <v>71</v>
      </c>
      <c r="B55" s="31" t="s">
        <v>72</v>
      </c>
    </row>
    <row r="56" spans="1:2" ht="36.950000000000003">
      <c r="A56" s="29" t="s">
        <v>73</v>
      </c>
      <c r="B56" s="31" t="s">
        <v>74</v>
      </c>
    </row>
    <row r="57" spans="1:2">
      <c r="A57" s="25" t="s">
        <v>75</v>
      </c>
      <c r="B57" s="48"/>
    </row>
    <row r="58" spans="1:2">
      <c r="A58" s="29" t="s">
        <v>76</v>
      </c>
      <c r="B58" s="24" t="s">
        <v>11</v>
      </c>
    </row>
    <row r="59" spans="1:2" ht="36.950000000000003">
      <c r="A59" s="33" t="s">
        <v>77</v>
      </c>
      <c r="B59" s="32" t="s">
        <v>78</v>
      </c>
    </row>
    <row r="60" spans="1:2">
      <c r="A60" s="25" t="s">
        <v>79</v>
      </c>
      <c r="B60" s="47"/>
    </row>
    <row r="61" spans="1:2">
      <c r="A61" s="33" t="s">
        <v>80</v>
      </c>
      <c r="B61" s="51" t="s">
        <v>81</v>
      </c>
    </row>
    <row r="62" spans="1:2">
      <c r="A62" s="29" t="s">
        <v>82</v>
      </c>
      <c r="B62" s="51"/>
    </row>
    <row r="63" spans="1:2">
      <c r="A63" s="25" t="s">
        <v>83</v>
      </c>
      <c r="B63" s="47"/>
    </row>
    <row r="64" spans="1:2">
      <c r="A64" s="33" t="s">
        <v>84</v>
      </c>
      <c r="B64" s="32" t="s">
        <v>11</v>
      </c>
    </row>
    <row r="65" spans="1:2" ht="55.5">
      <c r="A65" s="29" t="s">
        <v>85</v>
      </c>
      <c r="B65" s="24" t="s">
        <v>11</v>
      </c>
    </row>
    <row r="66" spans="1:2" ht="36.950000000000003">
      <c r="A66" s="52" t="s">
        <v>86</v>
      </c>
      <c r="B66" s="32" t="s">
        <v>87</v>
      </c>
    </row>
    <row r="67" spans="1:2">
      <c r="A67" s="52"/>
      <c r="B67" s="32" t="s">
        <v>88</v>
      </c>
    </row>
    <row r="68" spans="1:2" ht="55.5">
      <c r="A68" s="29" t="s">
        <v>89</v>
      </c>
      <c r="B68" s="24" t="s">
        <v>11</v>
      </c>
    </row>
    <row r="69" spans="1:2" ht="36.950000000000003">
      <c r="A69" s="33" t="s">
        <v>90</v>
      </c>
      <c r="B69" s="32" t="s">
        <v>11</v>
      </c>
    </row>
    <row r="70" spans="1:2">
      <c r="A70" s="25" t="s">
        <v>91</v>
      </c>
      <c r="B70" s="47"/>
    </row>
    <row r="71" spans="1:2">
      <c r="A71" s="29" t="s">
        <v>92</v>
      </c>
      <c r="B71" s="37">
        <v>1000000</v>
      </c>
    </row>
    <row r="72" spans="1:2">
      <c r="A72" s="33" t="s">
        <v>93</v>
      </c>
      <c r="B72" s="49" t="s">
        <v>94</v>
      </c>
    </row>
    <row r="73" spans="1:2" ht="74.099999999999994">
      <c r="A73" s="33" t="s">
        <v>95</v>
      </c>
      <c r="B73" s="50"/>
    </row>
    <row r="74" spans="1:2" ht="38.25" customHeight="1">
      <c r="A74" s="25" t="s">
        <v>96</v>
      </c>
      <c r="B74" s="47"/>
    </row>
    <row r="75" spans="1:2" ht="36.950000000000003">
      <c r="A75" s="33" t="s">
        <v>97</v>
      </c>
      <c r="B75" s="32" t="s">
        <v>11</v>
      </c>
    </row>
    <row r="76" spans="1:2" ht="36.950000000000003">
      <c r="A76" s="29" t="s">
        <v>98</v>
      </c>
      <c r="B76" s="24" t="s">
        <v>99</v>
      </c>
    </row>
    <row r="77" spans="1:2" ht="203.45">
      <c r="A77" s="38" t="s">
        <v>100</v>
      </c>
      <c r="B77" s="30" t="s">
        <v>101</v>
      </c>
    </row>
    <row r="78" spans="1:2">
      <c r="A78" s="39" t="s">
        <v>102</v>
      </c>
      <c r="B78" s="46"/>
    </row>
    <row r="79" spans="1:2" ht="55.5">
      <c r="A79" s="29" t="s">
        <v>103</v>
      </c>
      <c r="B79" s="24" t="s">
        <v>11</v>
      </c>
    </row>
    <row r="80" spans="1:2">
      <c r="A80" s="33" t="s">
        <v>104</v>
      </c>
      <c r="B80" s="40" t="s">
        <v>105</v>
      </c>
    </row>
    <row r="81" spans="1:2">
      <c r="A81" s="25" t="s">
        <v>106</v>
      </c>
      <c r="B81" s="46"/>
    </row>
    <row r="82" spans="1:2">
      <c r="A82" s="33" t="s">
        <v>107</v>
      </c>
      <c r="B82" s="32" t="s">
        <v>11</v>
      </c>
    </row>
    <row r="83" spans="1:2">
      <c r="A83" s="29" t="s">
        <v>108</v>
      </c>
      <c r="B83" s="24" t="s">
        <v>11</v>
      </c>
    </row>
    <row r="84" spans="1:2">
      <c r="A84" s="33" t="s">
        <v>109</v>
      </c>
      <c r="B84" s="32" t="s">
        <v>110</v>
      </c>
    </row>
    <row r="85" spans="1:2" ht="36.950000000000003">
      <c r="A85" s="29" t="s">
        <v>111</v>
      </c>
      <c r="B85" s="24" t="s">
        <v>11</v>
      </c>
    </row>
    <row r="86" spans="1:2">
      <c r="A86" s="33" t="s">
        <v>112</v>
      </c>
      <c r="B86" s="32" t="s">
        <v>113</v>
      </c>
    </row>
    <row r="87" spans="1:2" ht="36.950000000000003">
      <c r="A87" s="29" t="s">
        <v>114</v>
      </c>
      <c r="B87" s="24" t="s">
        <v>11</v>
      </c>
    </row>
    <row r="88" spans="1:2">
      <c r="A88" s="33" t="s">
        <v>115</v>
      </c>
      <c r="B88" s="32" t="s">
        <v>116</v>
      </c>
    </row>
    <row r="89" spans="1:2" ht="36.950000000000003">
      <c r="A89" s="29" t="s">
        <v>117</v>
      </c>
      <c r="B89" s="24" t="s">
        <v>11</v>
      </c>
    </row>
    <row r="90" spans="1:2" ht="36.950000000000003">
      <c r="A90" s="33" t="s">
        <v>118</v>
      </c>
      <c r="B90" s="32" t="s">
        <v>11</v>
      </c>
    </row>
    <row r="91" spans="1:2">
      <c r="A91" s="41" t="s">
        <v>119</v>
      </c>
      <c r="B91" s="24" t="s">
        <v>120</v>
      </c>
    </row>
    <row r="92" spans="1:2" ht="36.950000000000003">
      <c r="A92" s="33" t="s">
        <v>121</v>
      </c>
      <c r="B92" s="32" t="s">
        <v>11</v>
      </c>
    </row>
    <row r="93" spans="1:2">
      <c r="A93" s="29" t="s">
        <v>122</v>
      </c>
      <c r="B93" s="24" t="s">
        <v>11</v>
      </c>
    </row>
    <row r="94" spans="1:2">
      <c r="A94" s="42" t="s">
        <v>123</v>
      </c>
      <c r="B94" s="32" t="s">
        <v>120</v>
      </c>
    </row>
    <row r="95" spans="1:2" ht="36.950000000000003">
      <c r="A95" s="42" t="s">
        <v>124</v>
      </c>
      <c r="B95" s="32" t="s">
        <v>120</v>
      </c>
    </row>
    <row r="97" spans="2:2">
      <c r="B97" s="43"/>
    </row>
    <row r="103" spans="2:2">
      <c r="B103" s="45"/>
    </row>
  </sheetData>
  <mergeCells count="3">
    <mergeCell ref="B72:B73"/>
    <mergeCell ref="B61:B62"/>
    <mergeCell ref="A66:A67"/>
  </mergeCells>
  <phoneticPr fontId="2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E1E2-3C96-41AD-A886-63C4310F9AC0}">
  <dimension ref="A1"/>
  <sheetViews>
    <sheetView workbookViewId="0">
      <selection activeCell="M16" sqref="M16"/>
    </sheetView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002B-A356-4297-9B07-30BEE60FAF67}">
  <dimension ref="A1:G21"/>
  <sheetViews>
    <sheetView workbookViewId="0">
      <selection sqref="A1:XFD1048576"/>
    </sheetView>
  </sheetViews>
  <sheetFormatPr defaultColWidth="31" defaultRowHeight="14.45"/>
  <cols>
    <col min="1" max="1" width="35.140625" bestFit="1" customWidth="1"/>
    <col min="2" max="2" width="25.85546875" bestFit="1" customWidth="1"/>
    <col min="3" max="3" width="28.28515625" bestFit="1" customWidth="1"/>
    <col min="4" max="4" width="11.28515625" bestFit="1" customWidth="1"/>
    <col min="5" max="5" width="12" bestFit="1" customWidth="1"/>
    <col min="6" max="6" width="12.85546875" bestFit="1" customWidth="1"/>
    <col min="7" max="7" width="20.28515625" bestFit="1" customWidth="1"/>
  </cols>
  <sheetData>
    <row r="1" spans="1:7" ht="28.5">
      <c r="B1" s="53" t="s">
        <v>125</v>
      </c>
      <c r="C1" s="53"/>
      <c r="D1" s="53"/>
    </row>
    <row r="2" spans="1:7" ht="15.95">
      <c r="A2" s="1" t="s">
        <v>0</v>
      </c>
      <c r="B2" s="2" t="s">
        <v>126</v>
      </c>
      <c r="C2" s="3" t="s">
        <v>127</v>
      </c>
      <c r="D2" s="4" t="s">
        <v>128</v>
      </c>
      <c r="E2" s="5" t="s">
        <v>1</v>
      </c>
      <c r="F2" s="6" t="s">
        <v>129</v>
      </c>
      <c r="G2" s="7" t="s">
        <v>130</v>
      </c>
    </row>
    <row r="3" spans="1:7" ht="32.1">
      <c r="A3" s="8" t="s">
        <v>65</v>
      </c>
      <c r="B3" s="9" t="s">
        <v>131</v>
      </c>
      <c r="C3" s="9" t="s">
        <v>131</v>
      </c>
      <c r="D3" s="9" t="s">
        <v>11</v>
      </c>
      <c r="E3" s="9" t="s">
        <v>11</v>
      </c>
      <c r="F3" s="9" t="s">
        <v>11</v>
      </c>
      <c r="G3" s="9" t="s">
        <v>11</v>
      </c>
    </row>
    <row r="4" spans="1:7" ht="63.95">
      <c r="A4" s="10" t="s">
        <v>66</v>
      </c>
      <c r="B4" s="9" t="s">
        <v>132</v>
      </c>
      <c r="C4" s="9" t="s">
        <v>133</v>
      </c>
      <c r="D4" s="9" t="s">
        <v>11</v>
      </c>
      <c r="E4" s="9" t="s">
        <v>11</v>
      </c>
      <c r="F4" s="9" t="s">
        <v>11</v>
      </c>
      <c r="G4" s="9" t="s">
        <v>11</v>
      </c>
    </row>
    <row r="5" spans="1:7" ht="32.1">
      <c r="A5" s="10" t="s">
        <v>134</v>
      </c>
      <c r="B5" s="11" t="s">
        <v>135</v>
      </c>
      <c r="C5" s="11" t="s">
        <v>135</v>
      </c>
      <c r="D5" s="11" t="s">
        <v>135</v>
      </c>
      <c r="E5" s="11" t="s">
        <v>135</v>
      </c>
      <c r="F5" s="11" t="s">
        <v>135</v>
      </c>
      <c r="G5" s="11" t="s">
        <v>135</v>
      </c>
    </row>
    <row r="6" spans="1:7" ht="15.95">
      <c r="A6" s="12" t="s">
        <v>71</v>
      </c>
      <c r="B6" s="13" t="s">
        <v>136</v>
      </c>
      <c r="C6" s="13" t="s">
        <v>137</v>
      </c>
      <c r="D6" s="13" t="s">
        <v>138</v>
      </c>
      <c r="E6" s="13" t="s">
        <v>139</v>
      </c>
      <c r="F6" s="13" t="s">
        <v>113</v>
      </c>
      <c r="G6" s="13" t="s">
        <v>113</v>
      </c>
    </row>
    <row r="7" spans="1:7" ht="15.95">
      <c r="A7" s="10" t="s">
        <v>80</v>
      </c>
      <c r="B7" s="54" t="s">
        <v>140</v>
      </c>
      <c r="C7" s="54" t="s">
        <v>141</v>
      </c>
      <c r="D7" s="54" t="s">
        <v>113</v>
      </c>
      <c r="E7" s="54" t="s">
        <v>142</v>
      </c>
      <c r="F7" s="54" t="s">
        <v>81</v>
      </c>
      <c r="G7" s="54" t="s">
        <v>81</v>
      </c>
    </row>
    <row r="8" spans="1:7" ht="15.95">
      <c r="A8" s="8" t="s">
        <v>82</v>
      </c>
      <c r="B8" s="54"/>
      <c r="C8" s="54"/>
      <c r="D8" s="54"/>
      <c r="E8" s="54"/>
      <c r="F8" s="54"/>
      <c r="G8" s="54"/>
    </row>
    <row r="9" spans="1:7" ht="15.95">
      <c r="A9" s="10" t="s">
        <v>143</v>
      </c>
      <c r="B9" s="14">
        <v>85724</v>
      </c>
      <c r="C9" s="14">
        <v>110387</v>
      </c>
      <c r="D9" s="14">
        <v>189468</v>
      </c>
      <c r="E9" s="14">
        <v>360078</v>
      </c>
      <c r="F9" s="14">
        <v>598500</v>
      </c>
      <c r="G9" s="14">
        <v>1208900</v>
      </c>
    </row>
    <row r="10" spans="1:7" ht="15.95">
      <c r="A10" s="10" t="s">
        <v>144</v>
      </c>
      <c r="B10" s="14">
        <v>385758</v>
      </c>
      <c r="C10" s="14">
        <v>496742</v>
      </c>
      <c r="D10" s="14">
        <v>852606</v>
      </c>
      <c r="E10" s="14">
        <v>1620351</v>
      </c>
      <c r="F10" s="14">
        <v>2693250</v>
      </c>
      <c r="G10" s="14">
        <v>5440050</v>
      </c>
    </row>
    <row r="12" spans="1:7" ht="28.5">
      <c r="B12" s="55" t="s">
        <v>145</v>
      </c>
      <c r="C12" s="55"/>
      <c r="D12" s="55"/>
      <c r="E12" s="55"/>
      <c r="F12" s="55"/>
    </row>
    <row r="13" spans="1:7" ht="15.95">
      <c r="A13" s="1" t="s">
        <v>0</v>
      </c>
      <c r="B13" s="2" t="s">
        <v>126</v>
      </c>
      <c r="C13" s="3" t="s">
        <v>127</v>
      </c>
      <c r="D13" s="4" t="s">
        <v>128</v>
      </c>
      <c r="E13" s="5" t="s">
        <v>1</v>
      </c>
      <c r="F13" s="6" t="s">
        <v>129</v>
      </c>
      <c r="G13" s="7" t="s">
        <v>130</v>
      </c>
    </row>
    <row r="14" spans="1:7" ht="33.950000000000003">
      <c r="A14" s="15" t="s">
        <v>65</v>
      </c>
      <c r="B14" s="56" t="s">
        <v>146</v>
      </c>
      <c r="C14" s="56" t="s">
        <v>147</v>
      </c>
      <c r="D14" s="16" t="s">
        <v>11</v>
      </c>
      <c r="E14" s="16" t="s">
        <v>11</v>
      </c>
      <c r="F14" s="16" t="s">
        <v>11</v>
      </c>
      <c r="G14" s="16" t="s">
        <v>11</v>
      </c>
    </row>
    <row r="15" spans="1:7" ht="68.099999999999994">
      <c r="A15" s="17" t="s">
        <v>66</v>
      </c>
      <c r="B15" s="57"/>
      <c r="C15" s="57"/>
      <c r="D15" s="16" t="s">
        <v>11</v>
      </c>
      <c r="E15" s="16" t="s">
        <v>11</v>
      </c>
      <c r="F15" s="16" t="s">
        <v>11</v>
      </c>
      <c r="G15" s="16" t="s">
        <v>11</v>
      </c>
    </row>
    <row r="16" spans="1:7" ht="33.950000000000003">
      <c r="A16" s="17" t="s">
        <v>134</v>
      </c>
      <c r="B16" s="18" t="s">
        <v>148</v>
      </c>
      <c r="C16" s="18" t="s">
        <v>149</v>
      </c>
      <c r="D16" s="19">
        <v>1000000</v>
      </c>
      <c r="E16" s="19">
        <v>1500000</v>
      </c>
      <c r="F16" s="19">
        <v>2000000</v>
      </c>
      <c r="G16" s="19">
        <v>3000000</v>
      </c>
    </row>
    <row r="17" spans="1:7" ht="33.950000000000003">
      <c r="A17" s="20" t="s">
        <v>71</v>
      </c>
      <c r="B17" s="21" t="s">
        <v>150</v>
      </c>
      <c r="C17" s="21" t="s">
        <v>151</v>
      </c>
      <c r="D17" s="21" t="s">
        <v>152</v>
      </c>
      <c r="E17" s="21" t="s">
        <v>153</v>
      </c>
      <c r="F17" s="21" t="s">
        <v>154</v>
      </c>
      <c r="G17" s="21" t="s">
        <v>142</v>
      </c>
    </row>
    <row r="18" spans="1:7" ht="17.100000000000001">
      <c r="A18" s="17" t="s">
        <v>80</v>
      </c>
      <c r="B18" s="58" t="s">
        <v>155</v>
      </c>
      <c r="C18" s="58" t="s">
        <v>156</v>
      </c>
      <c r="D18" s="58" t="s">
        <v>154</v>
      </c>
      <c r="E18" s="58" t="s">
        <v>157</v>
      </c>
      <c r="F18" s="58" t="s">
        <v>158</v>
      </c>
      <c r="G18" s="58" t="s">
        <v>159</v>
      </c>
    </row>
    <row r="19" spans="1:7" ht="17.100000000000001">
      <c r="A19" s="15" t="s">
        <v>82</v>
      </c>
      <c r="B19" s="58"/>
      <c r="C19" s="58"/>
      <c r="D19" s="58"/>
      <c r="E19" s="58"/>
      <c r="F19" s="58"/>
      <c r="G19" s="58"/>
    </row>
    <row r="20" spans="1:7" ht="17.100000000000001">
      <c r="A20" s="17" t="s">
        <v>143</v>
      </c>
      <c r="B20" s="22">
        <v>94296.400000000009</v>
      </c>
      <c r="C20" s="22">
        <v>134300</v>
      </c>
      <c r="D20" s="22">
        <v>245500</v>
      </c>
      <c r="E20" s="22">
        <v>396085.80000000005</v>
      </c>
      <c r="F20" s="22">
        <v>695000</v>
      </c>
      <c r="G20" s="22">
        <v>1655000</v>
      </c>
    </row>
    <row r="21" spans="1:7" ht="17.100000000000001">
      <c r="A21" s="17" t="s">
        <v>144</v>
      </c>
      <c r="B21" s="22">
        <f>B20*4.5</f>
        <v>424333.80000000005</v>
      </c>
      <c r="C21" s="22">
        <f t="shared" ref="C21:G21" si="0">C20*4.5</f>
        <v>604350</v>
      </c>
      <c r="D21" s="22">
        <f t="shared" si="0"/>
        <v>1104750</v>
      </c>
      <c r="E21" s="22">
        <f t="shared" si="0"/>
        <v>1782386.1</v>
      </c>
      <c r="F21" s="22">
        <f t="shared" si="0"/>
        <v>3127500</v>
      </c>
      <c r="G21" s="22">
        <f t="shared" si="0"/>
        <v>7447500</v>
      </c>
    </row>
  </sheetData>
  <mergeCells count="16">
    <mergeCell ref="G7:G8"/>
    <mergeCell ref="B12:F12"/>
    <mergeCell ref="B14:B15"/>
    <mergeCell ref="C14:C15"/>
    <mergeCell ref="B18:B19"/>
    <mergeCell ref="C18:C19"/>
    <mergeCell ref="D18:D19"/>
    <mergeCell ref="E18:E19"/>
    <mergeCell ref="F18:F19"/>
    <mergeCell ref="G18:G19"/>
    <mergeCell ref="F7:F8"/>
    <mergeCell ref="B1:D1"/>
    <mergeCell ref="B7:B8"/>
    <mergeCell ref="C7:C8"/>
    <mergeCell ref="D7:D8"/>
    <mergeCell ref="E7:E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01587D4AEF44C8027D6A577D98158" ma:contentTypeVersion="18" ma:contentTypeDescription="Create a new document." ma:contentTypeScope="" ma:versionID="321b2c1164fdcf2e7afb3116aa03f2d1">
  <xsd:schema xmlns:xsd="http://www.w3.org/2001/XMLSchema" xmlns:xs="http://www.w3.org/2001/XMLSchema" xmlns:p="http://schemas.microsoft.com/office/2006/metadata/properties" xmlns:ns3="e20b07d0-32ad-4205-b417-482c0476a255" xmlns:ns4="d5d676fb-1a4d-4a09-87ff-8eaa6bdc5850" targetNamespace="http://schemas.microsoft.com/office/2006/metadata/properties" ma:root="true" ma:fieldsID="a40ad7d183d8a8b3bdf2404859971984" ns3:_="" ns4:_="">
    <xsd:import namespace="e20b07d0-32ad-4205-b417-482c0476a255"/>
    <xsd:import namespace="d5d676fb-1a4d-4a09-87ff-8eaa6bdc585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b07d0-32ad-4205-b417-482c0476a2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d676fb-1a4d-4a09-87ff-8eaa6bdc58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d676fb-1a4d-4a09-87ff-8eaa6bdc5850" xsi:nil="true"/>
  </documentManagement>
</p:properties>
</file>

<file path=customXml/itemProps1.xml><?xml version="1.0" encoding="utf-8"?>
<ds:datastoreItem xmlns:ds="http://schemas.openxmlformats.org/officeDocument/2006/customXml" ds:itemID="{606A8E3D-6DB9-4B1B-AE57-15AFD224C1C9}"/>
</file>

<file path=customXml/itemProps2.xml><?xml version="1.0" encoding="utf-8"?>
<ds:datastoreItem xmlns:ds="http://schemas.openxmlformats.org/officeDocument/2006/customXml" ds:itemID="{E2991C30-D0EE-40D7-B1F8-EA1F6B4989F9}"/>
</file>

<file path=customXml/itemProps3.xml><?xml version="1.0" encoding="utf-8"?>
<ds:datastoreItem xmlns:ds="http://schemas.openxmlformats.org/officeDocument/2006/customXml" ds:itemID="{C0AFFE21-E627-4C49-A2EC-A91984BD4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Temilade Adewoye-Daniel-Owo</dc:creator>
  <cp:keywords/>
  <dc:description/>
  <cp:lastModifiedBy>Olajumoke Imonikhe</cp:lastModifiedBy>
  <cp:revision/>
  <dcterms:created xsi:type="dcterms:W3CDTF">2023-01-08T23:46:13Z</dcterms:created>
  <dcterms:modified xsi:type="dcterms:W3CDTF">2026-01-20T10:44:57Z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0x010100A4F01587D4AEF44C8027D6A577D98158</vt:lpwstr>
  </property>
</Properties>
</file>